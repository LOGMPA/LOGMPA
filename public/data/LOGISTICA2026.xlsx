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hidePivotFieldList="1"/>
  <mc:AlternateContent xmlns:mc="http://schemas.openxmlformats.org/markup-compatibility/2006">
    <mc:Choice Requires="x15">
      <x15ac:absPath xmlns:x15ac="http://schemas.microsoft.com/office/spreadsheetml/2010/11/ac" url="https://gondaski-my.sharepoint.com/personal/marcela_marques_macponta_com_br/Documents/Área de Trabalho/"/>
    </mc:Choice>
  </mc:AlternateContent>
  <xr:revisionPtr revIDLastSave="0" documentId="8_{878BABCE-1ACF-428E-816F-5B4637FD511C}" xr6:coauthVersionLast="47" xr6:coauthVersionMax="47" xr10:uidLastSave="{00000000-0000-0000-0000-000000000000}"/>
  <bookViews>
    <workbookView xWindow="-28920" yWindow="-120" windowWidth="29040" windowHeight="15720" tabRatio="644" firstSheet="1" xr2:uid="{79B5BA07-D2C6-4A71-9E5E-B065B1438F00}"/>
  </bookViews>
  <sheets>
    <sheet name="CUSTOS" sheetId="14" r:id="rId1"/>
    <sheet name="FRETE MAQUINAS" sheetId="4" r:id="rId2"/>
    <sheet name="PEDIDO COMPRA" sheetId="7" r:id="rId3"/>
    <sheet name="FRETE PEÇAS" sheetId="6" r:id="rId4"/>
    <sheet name="UTIL" sheetId="10" r:id="rId5"/>
    <sheet name="VW DAF" sheetId="9" r:id="rId6"/>
    <sheet name="DEMO NOV" sheetId="12" r:id="rId7"/>
  </sheets>
  <definedNames>
    <definedName name="_xlnm._FilterDatabase" localSheetId="1" hidden="1">'FRETE MAQUINAS'!$A$1:$Q$1</definedName>
    <definedName name="_xlnm._FilterDatabase" localSheetId="4" hidden="1">UTIL!$N$1:$S$207</definedName>
  </definedNames>
  <calcPr calcId="191028"/>
  <pivotCaches>
    <pivotCache cacheId="740" r:id="rId8"/>
    <pivotCache cacheId="753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14" l="1"/>
  <c r="F26" i="14"/>
  <c r="E26" i="14"/>
  <c r="D26" i="14"/>
  <c r="C26" i="14"/>
  <c r="G6" i="14"/>
  <c r="F6" i="14"/>
  <c r="E6" i="14"/>
  <c r="D6" i="14"/>
  <c r="C6" i="14"/>
  <c r="T98" i="4"/>
  <c r="U98" i="4" a="1"/>
  <c r="U98" i="4"/>
  <c r="T99" i="4"/>
  <c r="U99" i="4" a="1"/>
  <c r="U99" i="4"/>
  <c r="T100" i="4"/>
  <c r="U100" i="4" a="1"/>
  <c r="U100" i="4"/>
  <c r="T101" i="4"/>
  <c r="U101" i="4" a="1"/>
  <c r="U101" i="4"/>
  <c r="C94" i="4"/>
  <c r="C93" i="4"/>
  <c r="E92" i="4"/>
  <c r="C92" i="4"/>
  <c r="E91" i="4"/>
  <c r="C91" i="4"/>
  <c r="T95" i="4"/>
  <c r="U95" i="4" a="1"/>
  <c r="U95" i="4"/>
  <c r="T96" i="4"/>
  <c r="U96" i="4" a="1"/>
  <c r="U96" i="4"/>
  <c r="T97" i="4"/>
  <c r="U97" i="4" a="1"/>
  <c r="U97" i="4"/>
  <c r="E86" i="4"/>
  <c r="E87" i="4"/>
  <c r="E88" i="4"/>
  <c r="C88" i="4"/>
  <c r="C87" i="4"/>
  <c r="C86" i="4"/>
  <c r="T92" i="4"/>
  <c r="U92" i="4" a="1"/>
  <c r="U92" i="4"/>
  <c r="T93" i="4"/>
  <c r="U93" i="4" a="1"/>
  <c r="U93" i="4"/>
  <c r="T94" i="4"/>
  <c r="U94" i="4" a="1"/>
  <c r="U94" i="4"/>
  <c r="C74" i="4"/>
  <c r="C73" i="4"/>
  <c r="C72" i="4"/>
  <c r="T91" i="4"/>
  <c r="U91" i="4" a="1"/>
  <c r="U91" i="4"/>
  <c r="E85" i="4"/>
  <c r="C85" i="4"/>
  <c r="E2" i="7"/>
  <c r="L2" i="7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U3" i="4" a="1"/>
  <c r="U3" i="4"/>
  <c r="U4" i="4" a="1"/>
  <c r="U4" i="4"/>
  <c r="U5" i="4" a="1"/>
  <c r="U5" i="4"/>
  <c r="U6" i="4" a="1"/>
  <c r="U6" i="4"/>
  <c r="U7" i="4" a="1"/>
  <c r="U7" i="4"/>
  <c r="U8" i="4" a="1"/>
  <c r="U8" i="4"/>
  <c r="U9" i="4" a="1"/>
  <c r="U9" i="4"/>
  <c r="U10" i="4" a="1"/>
  <c r="U10" i="4"/>
  <c r="U11" i="4" a="1"/>
  <c r="U11" i="4"/>
  <c r="U12" i="4" a="1"/>
  <c r="U12" i="4"/>
  <c r="U13" i="4" a="1"/>
  <c r="U13" i="4"/>
  <c r="U14" i="4" a="1"/>
  <c r="U14" i="4"/>
  <c r="U15" i="4" a="1"/>
  <c r="U15" i="4"/>
  <c r="U16" i="4" a="1"/>
  <c r="U16" i="4"/>
  <c r="U17" i="4" a="1"/>
  <c r="U17" i="4"/>
  <c r="U18" i="4" a="1"/>
  <c r="U18" i="4"/>
  <c r="U19" i="4" a="1"/>
  <c r="U19" i="4"/>
  <c r="U20" i="4" a="1"/>
  <c r="U20" i="4"/>
  <c r="U21" i="4" a="1"/>
  <c r="U21" i="4"/>
  <c r="U22" i="4" a="1"/>
  <c r="U22" i="4"/>
  <c r="U23" i="4" a="1"/>
  <c r="U23" i="4"/>
  <c r="U24" i="4" a="1"/>
  <c r="U24" i="4"/>
  <c r="U25" i="4" a="1"/>
  <c r="U25" i="4"/>
  <c r="U26" i="4" a="1"/>
  <c r="U26" i="4"/>
  <c r="U27" i="4" a="1"/>
  <c r="U27" i="4"/>
  <c r="U28" i="4" a="1"/>
  <c r="U28" i="4"/>
  <c r="U29" i="4" a="1"/>
  <c r="U29" i="4"/>
  <c r="U30" i="4" a="1"/>
  <c r="U30" i="4"/>
  <c r="U31" i="4" a="1"/>
  <c r="U31" i="4"/>
  <c r="U32" i="4" a="1"/>
  <c r="U32" i="4"/>
  <c r="U33" i="4" a="1"/>
  <c r="U33" i="4"/>
  <c r="U34" i="4" a="1"/>
  <c r="U34" i="4"/>
  <c r="U35" i="4" a="1"/>
  <c r="U35" i="4"/>
  <c r="U36" i="4" a="1"/>
  <c r="U36" i="4"/>
  <c r="U37" i="4" a="1"/>
  <c r="U37" i="4"/>
  <c r="U38" i="4" a="1"/>
  <c r="U38" i="4"/>
  <c r="U39" i="4" a="1"/>
  <c r="U39" i="4"/>
  <c r="U40" i="4" a="1"/>
  <c r="U40" i="4"/>
  <c r="U41" i="4" a="1"/>
  <c r="U41" i="4"/>
  <c r="U42" i="4" a="1"/>
  <c r="U42" i="4"/>
  <c r="U43" i="4" a="1"/>
  <c r="U43" i="4"/>
  <c r="U44" i="4" a="1"/>
  <c r="U44" i="4"/>
  <c r="U45" i="4" a="1"/>
  <c r="U45" i="4"/>
  <c r="U46" i="4" a="1"/>
  <c r="U46" i="4"/>
  <c r="U47" i="4" a="1"/>
  <c r="U47" i="4"/>
  <c r="U48" i="4" a="1"/>
  <c r="U48" i="4"/>
  <c r="U49" i="4" a="1"/>
  <c r="U49" i="4"/>
  <c r="U50" i="4" a="1"/>
  <c r="U50" i="4"/>
  <c r="U51" i="4" a="1"/>
  <c r="U51" i="4"/>
  <c r="U52" i="4" a="1"/>
  <c r="U52" i="4"/>
  <c r="U53" i="4" a="1"/>
  <c r="U53" i="4"/>
  <c r="U54" i="4" a="1"/>
  <c r="U54" i="4"/>
  <c r="U55" i="4" a="1"/>
  <c r="U55" i="4"/>
  <c r="U56" i="4" a="1"/>
  <c r="U56" i="4"/>
  <c r="U57" i="4" a="1"/>
  <c r="U57" i="4"/>
  <c r="U58" i="4" a="1"/>
  <c r="U58" i="4"/>
  <c r="U59" i="4" a="1"/>
  <c r="U59" i="4"/>
  <c r="U60" i="4" a="1"/>
  <c r="U60" i="4"/>
  <c r="U61" i="4" a="1"/>
  <c r="U61" i="4"/>
  <c r="U62" i="4" a="1"/>
  <c r="U62" i="4"/>
  <c r="U63" i="4" a="1"/>
  <c r="U63" i="4"/>
  <c r="U64" i="4" a="1"/>
  <c r="U64" i="4"/>
  <c r="U65" i="4" a="1"/>
  <c r="U65" i="4"/>
  <c r="U66" i="4" a="1"/>
  <c r="U66" i="4"/>
  <c r="U67" i="4" a="1"/>
  <c r="U67" i="4"/>
  <c r="U68" i="4" a="1"/>
  <c r="U68" i="4"/>
  <c r="U69" i="4" a="1"/>
  <c r="U69" i="4"/>
  <c r="U70" i="4" a="1"/>
  <c r="U70" i="4"/>
  <c r="U71" i="4" a="1"/>
  <c r="U71" i="4"/>
  <c r="U72" i="4" a="1"/>
  <c r="U72" i="4"/>
  <c r="U73" i="4" a="1"/>
  <c r="U73" i="4"/>
  <c r="U74" i="4" a="1"/>
  <c r="U74" i="4"/>
  <c r="U75" i="4" a="1"/>
  <c r="U75" i="4"/>
  <c r="U76" i="4" a="1"/>
  <c r="U76" i="4"/>
  <c r="U77" i="4" a="1"/>
  <c r="U77" i="4"/>
  <c r="U78" i="4" a="1"/>
  <c r="U78" i="4"/>
  <c r="U79" i="4" a="1"/>
  <c r="U79" i="4"/>
  <c r="U80" i="4" a="1"/>
  <c r="U80" i="4"/>
  <c r="U81" i="4" a="1"/>
  <c r="U81" i="4"/>
  <c r="U82" i="4" a="1"/>
  <c r="U82" i="4"/>
  <c r="U83" i="4" a="1"/>
  <c r="U83" i="4"/>
  <c r="U84" i="4" a="1"/>
  <c r="U84" i="4"/>
  <c r="U85" i="4" a="1"/>
  <c r="U85" i="4"/>
  <c r="U86" i="4" a="1"/>
  <c r="U86" i="4"/>
  <c r="U87" i="4" a="1"/>
  <c r="U87" i="4"/>
  <c r="U88" i="4" a="1"/>
  <c r="U88" i="4"/>
  <c r="U89" i="4" a="1"/>
  <c r="U89" i="4"/>
  <c r="U90" i="4" a="1"/>
  <c r="U90" i="4"/>
  <c r="U2" i="4" a="1"/>
  <c r="U2" i="4"/>
  <c r="AJ26" i="14"/>
  <c r="AL26" i="14" s="1"/>
  <c r="AI26" i="14"/>
  <c r="H26" i="14"/>
  <c r="AJ25" i="14"/>
  <c r="AL25" i="14" s="1"/>
  <c r="AI25" i="14"/>
  <c r="AJ5" i="14"/>
  <c r="AL5" i="14" s="1"/>
  <c r="AI5" i="14"/>
  <c r="E95" i="4"/>
  <c r="C95" i="4"/>
  <c r="C68" i="4"/>
  <c r="N92" i="7"/>
  <c r="N93" i="7"/>
  <c r="N94" i="7"/>
  <c r="N95" i="7"/>
  <c r="N96" i="7"/>
  <c r="N97" i="7"/>
  <c r="N98" i="7"/>
  <c r="N99" i="7"/>
  <c r="N100" i="7"/>
  <c r="N101" i="7"/>
  <c r="N102" i="7"/>
  <c r="N103" i="7"/>
  <c r="N104" i="7"/>
  <c r="N105" i="7"/>
  <c r="N106" i="7"/>
  <c r="N107" i="7"/>
  <c r="N108" i="7"/>
  <c r="N109" i="7"/>
  <c r="N110" i="7"/>
  <c r="N111" i="7"/>
  <c r="N112" i="7"/>
  <c r="N113" i="7"/>
  <c r="N114" i="7"/>
  <c r="N115" i="7"/>
  <c r="N116" i="7"/>
  <c r="N117" i="7"/>
  <c r="N118" i="7"/>
  <c r="N119" i="7"/>
  <c r="N120" i="7"/>
  <c r="N121" i="7"/>
  <c r="N122" i="7"/>
  <c r="N123" i="7"/>
  <c r="N124" i="7"/>
  <c r="N125" i="7"/>
  <c r="E30" i="7"/>
  <c r="E31" i="7"/>
  <c r="E36" i="7"/>
  <c r="E28" i="7"/>
  <c r="E32" i="7"/>
  <c r="E33" i="7"/>
  <c r="E37" i="7"/>
  <c r="E38" i="7"/>
  <c r="E14" i="7"/>
  <c r="L30" i="7"/>
  <c r="L31" i="7"/>
  <c r="L36" i="7"/>
  <c r="L28" i="7"/>
  <c r="L32" i="7"/>
  <c r="L33" i="7"/>
  <c r="L37" i="7"/>
  <c r="L38" i="7"/>
  <c r="L14" i="7"/>
  <c r="L108" i="7"/>
  <c r="L109" i="7"/>
  <c r="L110" i="7"/>
  <c r="L111" i="7"/>
  <c r="L112" i="7"/>
  <c r="L113" i="7"/>
  <c r="L114" i="7"/>
  <c r="L115" i="7"/>
  <c r="L116" i="7"/>
  <c r="L117" i="7"/>
  <c r="L118" i="7"/>
  <c r="L119" i="7"/>
  <c r="L120" i="7"/>
  <c r="L121" i="7"/>
  <c r="L122" i="7"/>
  <c r="L123" i="7"/>
  <c r="L124" i="7"/>
  <c r="L125" i="7"/>
  <c r="L126" i="7"/>
  <c r="N1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L12" i="7"/>
  <c r="L13" i="7"/>
  <c r="L11" i="7"/>
  <c r="AJ6" i="14"/>
  <c r="AL6" i="14" s="1"/>
  <c r="AI6" i="14"/>
  <c r="H6" i="14"/>
  <c r="L105" i="7"/>
  <c r="L106" i="7"/>
  <c r="L9" i="7"/>
  <c r="L10" i="7"/>
  <c r="L18" i="7"/>
  <c r="L22" i="7"/>
  <c r="L24" i="7"/>
  <c r="L17" i="7"/>
  <c r="L26" i="7"/>
  <c r="L27" i="7"/>
  <c r="C35" i="4"/>
  <c r="E67" i="4"/>
  <c r="C55" i="4"/>
  <c r="C56" i="4"/>
  <c r="C57" i="4"/>
  <c r="C62" i="4"/>
  <c r="C58" i="4"/>
  <c r="C61" i="4"/>
  <c r="C40" i="4"/>
  <c r="C34" i="4"/>
  <c r="C2" i="4"/>
  <c r="C7" i="4"/>
  <c r="L4" i="7"/>
  <c r="L6" i="7"/>
  <c r="L21" i="7"/>
  <c r="L87" i="7"/>
  <c r="L88" i="7"/>
  <c r="L89" i="7"/>
  <c r="L79" i="7"/>
  <c r="L84" i="7"/>
  <c r="L83" i="7"/>
  <c r="L85" i="7"/>
  <c r="L81" i="7"/>
  <c r="L80" i="7"/>
  <c r="L82" i="7"/>
  <c r="L86" i="7"/>
  <c r="L78" i="7"/>
  <c r="L71" i="7"/>
  <c r="L72" i="7"/>
  <c r="L73" i="7"/>
  <c r="L76" i="7"/>
  <c r="L74" i="7"/>
  <c r="L77" i="7"/>
  <c r="L75" i="7"/>
  <c r="L66" i="7"/>
  <c r="L67" i="7"/>
  <c r="L68" i="7"/>
  <c r="L69" i="7"/>
  <c r="L65" i="7"/>
  <c r="L64" i="7"/>
  <c r="L62" i="7"/>
  <c r="L63" i="7"/>
  <c r="L59" i="7"/>
  <c r="L58" i="7"/>
  <c r="L60" i="7"/>
  <c r="L61" i="7"/>
  <c r="L52" i="7"/>
  <c r="L53" i="7"/>
  <c r="L54" i="7"/>
  <c r="L55" i="7"/>
  <c r="L56" i="7"/>
  <c r="L57" i="7"/>
  <c r="L51" i="7"/>
  <c r="L39" i="7"/>
  <c r="L40" i="7"/>
  <c r="L41" i="7"/>
  <c r="L42" i="7"/>
  <c r="L43" i="7"/>
  <c r="L44" i="7"/>
  <c r="L45" i="7"/>
  <c r="L46" i="7"/>
  <c r="L47" i="7"/>
  <c r="L48" i="7"/>
  <c r="L49" i="7"/>
  <c r="L50" i="7"/>
  <c r="L70" i="7"/>
  <c r="L93" i="7"/>
  <c r="L34" i="7"/>
  <c r="L3" i="7"/>
  <c r="L94" i="7"/>
  <c r="L95" i="7"/>
  <c r="L96" i="7"/>
  <c r="L97" i="7"/>
  <c r="L101" i="7"/>
  <c r="L102" i="7"/>
  <c r="L103" i="7"/>
  <c r="L15" i="7"/>
  <c r="L19" i="7"/>
  <c r="L20" i="7"/>
  <c r="L23" i="7"/>
  <c r="L25" i="7"/>
  <c r="L29" i="7"/>
  <c r="L35" i="7"/>
  <c r="L90" i="7"/>
  <c r="L91" i="7"/>
  <c r="L92" i="7"/>
  <c r="L104" i="7"/>
  <c r="L7" i="7"/>
  <c r="L5" i="7"/>
  <c r="L8" i="7"/>
  <c r="L16" i="7"/>
  <c r="L98" i="7"/>
  <c r="L99" i="7"/>
  <c r="L107" i="7"/>
  <c r="L100" i="7"/>
  <c r="E45" i="4"/>
  <c r="E44" i="4"/>
  <c r="E99" i="4"/>
  <c r="E98" i="4"/>
  <c r="C71" i="4"/>
  <c r="C70" i="4"/>
  <c r="C69" i="4"/>
  <c r="E79" i="4"/>
  <c r="C79" i="4"/>
  <c r="E80" i="4"/>
  <c r="C80" i="4"/>
  <c r="C45" i="4"/>
  <c r="C44" i="4"/>
  <c r="C49" i="4"/>
  <c r="C50" i="4"/>
  <c r="N118" i="10"/>
  <c r="E94" i="7" s="1"/>
  <c r="N204" i="10"/>
  <c r="N205" i="10"/>
  <c r="N206" i="10"/>
  <c r="N207" i="10"/>
  <c r="C38" i="4"/>
  <c r="E82" i="4"/>
  <c r="E81" i="4"/>
  <c r="E76" i="4"/>
  <c r="E75" i="4"/>
  <c r="E66" i="4"/>
  <c r="E41" i="4"/>
  <c r="E40" i="4"/>
  <c r="C82" i="4"/>
  <c r="C81" i="4"/>
  <c r="C83" i="4"/>
  <c r="C84" i="4"/>
  <c r="C76" i="4"/>
  <c r="C75" i="4"/>
  <c r="C77" i="4"/>
  <c r="C78" i="4"/>
  <c r="C65" i="4"/>
  <c r="C64" i="4"/>
  <c r="C63" i="4"/>
  <c r="C66" i="4"/>
  <c r="C67" i="4"/>
  <c r="C96" i="4"/>
  <c r="C97" i="4"/>
  <c r="C41" i="4"/>
  <c r="C42" i="4"/>
  <c r="C43" i="4"/>
  <c r="E31" i="4"/>
  <c r="C31" i="4"/>
  <c r="C39" i="4"/>
  <c r="C48" i="4"/>
  <c r="E46" i="4"/>
  <c r="C46" i="4"/>
  <c r="C53" i="4"/>
  <c r="C51" i="4"/>
  <c r="C30" i="4"/>
  <c r="E30" i="4"/>
  <c r="C54" i="4"/>
  <c r="C52" i="4"/>
  <c r="C36" i="4"/>
  <c r="C37" i="4"/>
  <c r="C6" i="4"/>
  <c r="C5" i="4"/>
  <c r="C3" i="4"/>
  <c r="C8" i="4"/>
  <c r="C11" i="4"/>
  <c r="C10" i="4"/>
  <c r="C9" i="4"/>
  <c r="C15" i="4"/>
  <c r="C14" i="4"/>
  <c r="C12" i="4"/>
  <c r="C13" i="4"/>
  <c r="C17" i="4"/>
  <c r="C16" i="4"/>
  <c r="C18" i="4"/>
  <c r="C21" i="4"/>
  <c r="C20" i="4"/>
  <c r="C19" i="4"/>
  <c r="C28" i="4"/>
  <c r="C27" i="4"/>
  <c r="C25" i="4"/>
  <c r="C22" i="4"/>
  <c r="C24" i="4"/>
  <c r="C23" i="4"/>
  <c r="C26" i="4"/>
  <c r="C32" i="4"/>
  <c r="C33" i="4"/>
  <c r="C99" i="4"/>
  <c r="C98" i="4"/>
  <c r="C47" i="4"/>
  <c r="C90" i="4"/>
  <c r="C89" i="4"/>
  <c r="C101" i="4"/>
  <c r="C100" i="4"/>
  <c r="C60" i="4"/>
  <c r="C59" i="4"/>
  <c r="C29" i="4"/>
  <c r="C4" i="4"/>
  <c r="E29" i="4"/>
  <c r="E10" i="4"/>
  <c r="E9" i="4"/>
  <c r="E12" i="4"/>
  <c r="E13" i="4"/>
  <c r="E18" i="4"/>
  <c r="E20" i="4"/>
  <c r="E19" i="4"/>
  <c r="E25" i="4"/>
  <c r="E22" i="4"/>
  <c r="E24" i="4"/>
  <c r="E23" i="4"/>
  <c r="E32" i="4"/>
  <c r="E33" i="4"/>
  <c r="E60" i="4"/>
  <c r="E59" i="4"/>
  <c r="T2" i="4"/>
  <c r="N89" i="10"/>
  <c r="E95" i="7" s="1"/>
  <c r="N42" i="10"/>
  <c r="N107" i="10"/>
  <c r="N41" i="10"/>
  <c r="N87" i="10"/>
  <c r="N94" i="10"/>
  <c r="N146" i="10"/>
  <c r="N53" i="10"/>
  <c r="N52" i="10"/>
  <c r="N181" i="10"/>
  <c r="N143" i="10"/>
  <c r="N124" i="10"/>
  <c r="E15" i="7" s="1"/>
  <c r="N125" i="10"/>
  <c r="N144" i="10"/>
  <c r="N142" i="10"/>
  <c r="E50" i="7" s="1"/>
  <c r="N151" i="10"/>
  <c r="N54" i="10"/>
  <c r="E89" i="7" s="1"/>
  <c r="N137" i="10"/>
  <c r="N115" i="10"/>
  <c r="N173" i="10"/>
  <c r="N172" i="10"/>
  <c r="N171" i="10"/>
  <c r="N170" i="10"/>
  <c r="N169" i="10"/>
  <c r="N168" i="10"/>
  <c r="N167" i="10"/>
  <c r="N166" i="10"/>
  <c r="N165" i="10"/>
  <c r="N164" i="10"/>
  <c r="N163" i="10"/>
  <c r="N158" i="10"/>
  <c r="N135" i="10"/>
  <c r="N44" i="10"/>
  <c r="N82" i="10"/>
  <c r="N69" i="10"/>
  <c r="N64" i="10"/>
  <c r="E101" i="7" s="1"/>
  <c r="N60" i="10"/>
  <c r="N203" i="10"/>
  <c r="N202" i="10"/>
  <c r="N201" i="10"/>
  <c r="N200" i="10"/>
  <c r="N92" i="10"/>
  <c r="N93" i="10"/>
  <c r="N67" i="10"/>
  <c r="N62" i="10"/>
  <c r="N24" i="10"/>
  <c r="N149" i="10"/>
  <c r="N141" i="10"/>
  <c r="N63" i="10"/>
  <c r="N121" i="10"/>
  <c r="N51" i="10"/>
  <c r="N50" i="10"/>
  <c r="N49" i="10"/>
  <c r="N48" i="10"/>
  <c r="N123" i="10"/>
  <c r="N96" i="10"/>
  <c r="N110" i="10"/>
  <c r="N58" i="10"/>
  <c r="N84" i="10"/>
  <c r="N134" i="10"/>
  <c r="N162" i="10"/>
  <c r="N130" i="10"/>
  <c r="N108" i="10"/>
  <c r="N112" i="10"/>
  <c r="N79" i="10"/>
  <c r="N128" i="10"/>
  <c r="N136" i="10"/>
  <c r="N106" i="10"/>
  <c r="N105" i="10"/>
  <c r="N55" i="10"/>
  <c r="E86" i="7" s="1"/>
  <c r="N131" i="10"/>
  <c r="N72" i="10"/>
  <c r="N71" i="10"/>
  <c r="N70" i="10"/>
  <c r="N175" i="10"/>
  <c r="N174" i="10"/>
  <c r="N150" i="10"/>
  <c r="E34" i="7" s="1"/>
  <c r="N180" i="10"/>
  <c r="N179" i="10"/>
  <c r="N178" i="10"/>
  <c r="N140" i="10"/>
  <c r="N139" i="10"/>
  <c r="N132" i="10"/>
  <c r="E93" i="7" s="1"/>
  <c r="N95" i="10"/>
  <c r="N91" i="10"/>
  <c r="N40" i="10"/>
  <c r="N11" i="10"/>
  <c r="N38" i="10"/>
  <c r="N37" i="10"/>
  <c r="N36" i="10"/>
  <c r="N39" i="10"/>
  <c r="E69" i="7" s="1"/>
  <c r="N35" i="10"/>
  <c r="N17" i="10"/>
  <c r="N34" i="10"/>
  <c r="N33" i="10"/>
  <c r="N32" i="10"/>
  <c r="N31" i="10"/>
  <c r="N30" i="10"/>
  <c r="N29" i="10"/>
  <c r="N28" i="10"/>
  <c r="N26" i="10"/>
  <c r="E51" i="7" s="1"/>
  <c r="N25" i="10"/>
  <c r="N23" i="10"/>
  <c r="N22" i="10"/>
  <c r="E73" i="7" s="1"/>
  <c r="N21" i="10"/>
  <c r="N20" i="10"/>
  <c r="N10" i="10"/>
  <c r="N119" i="10"/>
  <c r="N19" i="10"/>
  <c r="N18" i="10"/>
  <c r="N16" i="10"/>
  <c r="N15" i="10"/>
  <c r="N14" i="10"/>
  <c r="N13" i="10"/>
  <c r="N12" i="10"/>
  <c r="N9" i="10"/>
  <c r="N8" i="10"/>
  <c r="N7" i="10"/>
  <c r="N6" i="10"/>
  <c r="N5" i="10"/>
  <c r="N4" i="10"/>
  <c r="N3" i="10"/>
  <c r="E49" i="7" s="1"/>
  <c r="N27" i="10"/>
  <c r="N2" i="10"/>
  <c r="N66" i="10"/>
  <c r="N127" i="10"/>
  <c r="E35" i="7" s="1"/>
  <c r="N122" i="10"/>
  <c r="N157" i="10"/>
  <c r="N59" i="10"/>
  <c r="N78" i="10"/>
  <c r="N138" i="10"/>
  <c r="E72" i="7" s="1"/>
  <c r="N57" i="10"/>
  <c r="N83" i="10"/>
  <c r="N104" i="10"/>
  <c r="N120" i="10"/>
  <c r="N133" i="10"/>
  <c r="N117" i="10"/>
  <c r="N88" i="10"/>
  <c r="N90" i="10"/>
  <c r="N197" i="10"/>
  <c r="N109" i="10"/>
  <c r="N47" i="10"/>
  <c r="N199" i="10"/>
  <c r="N68" i="10"/>
  <c r="N159" i="10"/>
  <c r="N160" i="10"/>
  <c r="N113" i="10"/>
  <c r="N114" i="10"/>
  <c r="N147" i="10"/>
  <c r="N177" i="10"/>
  <c r="N176" i="10"/>
  <c r="N156" i="10"/>
  <c r="N145" i="10"/>
  <c r="N111" i="10"/>
  <c r="N198" i="10"/>
  <c r="N80" i="10"/>
  <c r="N196" i="10"/>
  <c r="N61" i="10"/>
  <c r="N148" i="10"/>
  <c r="N103" i="10"/>
  <c r="N81" i="10"/>
  <c r="N56" i="10"/>
  <c r="N46" i="10"/>
  <c r="N116" i="10"/>
  <c r="N85" i="10"/>
  <c r="N86" i="10"/>
  <c r="N152" i="10"/>
  <c r="N43" i="10"/>
  <c r="N65" i="10"/>
  <c r="N155" i="10"/>
  <c r="N161" i="10"/>
  <c r="N153" i="10"/>
  <c r="N129" i="10"/>
  <c r="N102" i="10"/>
  <c r="N101" i="10"/>
  <c r="N100" i="10"/>
  <c r="N99" i="10"/>
  <c r="N98" i="10"/>
  <c r="N97" i="10"/>
  <c r="N45" i="10"/>
  <c r="N77" i="10"/>
  <c r="N76" i="10"/>
  <c r="N75" i="10"/>
  <c r="N74" i="10"/>
  <c r="N73" i="10"/>
  <c r="N195" i="10"/>
  <c r="N194" i="10"/>
  <c r="N193" i="10"/>
  <c r="N192" i="10"/>
  <c r="N191" i="10"/>
  <c r="N190" i="10"/>
  <c r="N189" i="10"/>
  <c r="N188" i="10"/>
  <c r="N187" i="10"/>
  <c r="N186" i="10"/>
  <c r="N185" i="10"/>
  <c r="N184" i="10"/>
  <c r="N183" i="10"/>
  <c r="N126" i="10"/>
  <c r="N154" i="10"/>
  <c r="N18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2" i="10"/>
  <c r="E108" i="7" l="1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" i="7"/>
  <c r="E13" i="7"/>
  <c r="E11" i="7"/>
  <c r="E10" i="7"/>
  <c r="E18" i="7"/>
  <c r="E22" i="7"/>
  <c r="E24" i="7"/>
  <c r="E17" i="7"/>
  <c r="E26" i="7"/>
  <c r="E27" i="7"/>
  <c r="E105" i="7"/>
  <c r="E106" i="7"/>
  <c r="E9" i="7"/>
  <c r="E3" i="7"/>
  <c r="E39" i="7"/>
  <c r="E41" i="7"/>
  <c r="E40" i="7"/>
  <c r="E48" i="7"/>
  <c r="E46" i="7"/>
  <c r="E45" i="7"/>
  <c r="E43" i="7"/>
  <c r="E47" i="7"/>
  <c r="E44" i="7"/>
  <c r="E42" i="7"/>
  <c r="E21" i="7"/>
  <c r="E19" i="7"/>
  <c r="E20" i="7"/>
  <c r="E23" i="7"/>
  <c r="E25" i="7"/>
  <c r="E29" i="7"/>
  <c r="E97" i="7"/>
  <c r="E96" i="7"/>
  <c r="E102" i="7"/>
  <c r="E103" i="7"/>
  <c r="E4" i="7"/>
  <c r="E6" i="7"/>
  <c r="E90" i="7"/>
  <c r="E91" i="7"/>
  <c r="E92" i="7"/>
  <c r="E100" i="7"/>
  <c r="E104" i="7"/>
  <c r="E7" i="7"/>
  <c r="E5" i="7"/>
  <c r="E8" i="7"/>
  <c r="E16" i="7"/>
  <c r="E98" i="7"/>
  <c r="E99" i="7"/>
  <c r="E107" i="7"/>
  <c r="E60" i="7"/>
  <c r="E61" i="7"/>
  <c r="E56" i="7"/>
  <c r="E53" i="7"/>
  <c r="E54" i="7"/>
  <c r="E75" i="7"/>
  <c r="E74" i="7"/>
  <c r="E52" i="7"/>
  <c r="E55" i="7"/>
  <c r="E57" i="7"/>
  <c r="E67" i="7"/>
  <c r="E68" i="7"/>
  <c r="E70" i="7"/>
  <c r="E77" i="7"/>
  <c r="E76" i="7"/>
  <c r="E80" i="7"/>
  <c r="E81" i="7"/>
  <c r="E82" i="7"/>
  <c r="E83" i="7"/>
  <c r="E84" i="7"/>
  <c r="E85" i="7"/>
  <c r="E79" i="7"/>
  <c r="E78" i="7"/>
  <c r="E58" i="7"/>
  <c r="E63" i="7"/>
  <c r="E71" i="7"/>
  <c r="E66" i="7"/>
  <c r="E65" i="7"/>
  <c r="E64" i="7"/>
  <c r="E62" i="7"/>
  <c r="E59" i="7"/>
  <c r="E87" i="7"/>
  <c r="E88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<sst xmlns="http://schemas.openxmlformats.org/spreadsheetml/2006/main" count="4229" uniqueCount="1473">
  <si>
    <t>ANO FISCAL - 2026 (GERAL)</t>
  </si>
  <si>
    <t>DATA</t>
  </si>
  <si>
    <t>(Tudo)</t>
  </si>
  <si>
    <t>PREV</t>
  </si>
  <si>
    <t>TIPO</t>
  </si>
  <si>
    <t>Munck</t>
  </si>
  <si>
    <t>Frete Peças M</t>
  </si>
  <si>
    <t>Frete Peças T</t>
  </si>
  <si>
    <t>G01</t>
  </si>
  <si>
    <t>G02</t>
  </si>
  <si>
    <t>G03</t>
  </si>
  <si>
    <t>G04</t>
  </si>
  <si>
    <t>G05</t>
  </si>
  <si>
    <t>G06</t>
  </si>
  <si>
    <t>G07</t>
  </si>
  <si>
    <t>G08</t>
  </si>
  <si>
    <t>G09</t>
  </si>
  <si>
    <t>G10</t>
  </si>
  <si>
    <t>G11</t>
  </si>
  <si>
    <t>A4</t>
  </si>
  <si>
    <t>TP</t>
  </si>
  <si>
    <t>COLHEITADEIRA</t>
  </si>
  <si>
    <t>PLANTADEIRA</t>
  </si>
  <si>
    <t>PLATAFORMA</t>
  </si>
  <si>
    <t>PULVERIZADOR</t>
  </si>
  <si>
    <t>TRATOR</t>
  </si>
  <si>
    <t>.</t>
  </si>
  <si>
    <t>Equipamento</t>
  </si>
  <si>
    <t>Soma Proprio</t>
  </si>
  <si>
    <t>Soma Terceiro</t>
  </si>
  <si>
    <t>Qtd Frete</t>
  </si>
  <si>
    <t>TERCEIRO</t>
  </si>
  <si>
    <t>Valor Total</t>
  </si>
  <si>
    <t>Total KM</t>
  </si>
  <si>
    <t>MUNCK</t>
  </si>
  <si>
    <t>R$</t>
  </si>
  <si>
    <t>MOTOBOY</t>
  </si>
  <si>
    <t>TRANSPORTADORA</t>
  </si>
  <si>
    <t>Responsável</t>
  </si>
  <si>
    <t>VALOR</t>
  </si>
  <si>
    <t>QTD</t>
  </si>
  <si>
    <t>KMs</t>
  </si>
  <si>
    <t>COMBUSTIVEL</t>
  </si>
  <si>
    <t>VALOR KM</t>
  </si>
  <si>
    <t>KM EM HR</t>
  </si>
  <si>
    <t>CAMINHÃO</t>
  </si>
  <si>
    <t>APROVEITAMENTO</t>
  </si>
  <si>
    <t>Meta Frete 2026</t>
  </si>
  <si>
    <t>TERCEIRO MAZETTO</t>
  </si>
  <si>
    <t>ARAPOTI</t>
  </si>
  <si>
    <t>PG</t>
  </si>
  <si>
    <t>DELTA MOTOS COURIER</t>
  </si>
  <si>
    <t>CARGADEDICADA -TR PEÇA</t>
  </si>
  <si>
    <t>DAF Implemento</t>
  </si>
  <si>
    <t>VW Implemento</t>
  </si>
  <si>
    <t>PROPRIO VW</t>
  </si>
  <si>
    <t>Média (P+T)</t>
  </si>
  <si>
    <t>TERCEIRO COLOMBO</t>
  </si>
  <si>
    <t>IRATI</t>
  </si>
  <si>
    <t>CASTRO</t>
  </si>
  <si>
    <t>GRPVA</t>
  </si>
  <si>
    <t>JOSEAMILTON1 COURIER</t>
  </si>
  <si>
    <t>ESC -TR PEÇA</t>
  </si>
  <si>
    <t>DAF Multa</t>
  </si>
  <si>
    <t>VW Licença DER AET</t>
  </si>
  <si>
    <t>PROPRIO DAF</t>
  </si>
  <si>
    <t>TERCEIRO AGROMAQ</t>
  </si>
  <si>
    <t>MARCOS D. COURIER</t>
  </si>
  <si>
    <t>PRINCESA -TR PEÇA</t>
  </si>
  <si>
    <t>DAF Manutenção</t>
  </si>
  <si>
    <t>VW Licença DNIT AET</t>
  </si>
  <si>
    <t>TERCEIRO ZORTEA</t>
  </si>
  <si>
    <t>TIBAGI</t>
  </si>
  <si>
    <t>PRUDE</t>
  </si>
  <si>
    <t>UNIBOY COURIER</t>
  </si>
  <si>
    <t>TX LOG -TR PEÇA</t>
  </si>
  <si>
    <t>VW Manutenção</t>
  </si>
  <si>
    <t>TERCEIRO DEMETRIO</t>
  </si>
  <si>
    <t>JORGE LUIZ 2 COURIER</t>
  </si>
  <si>
    <t>Valores</t>
  </si>
  <si>
    <t>TERCEIRO NELSON</t>
  </si>
  <si>
    <t>ANDREIA R. COURIER</t>
  </si>
  <si>
    <t>Media Proprio</t>
  </si>
  <si>
    <t>TERCEIRO JAPONES</t>
  </si>
  <si>
    <t>JOHN ELVIS COURIER</t>
  </si>
  <si>
    <t>Media Terceiro</t>
  </si>
  <si>
    <t>TERCEIRO STOSKI</t>
  </si>
  <si>
    <t>Qtd Proprio</t>
  </si>
  <si>
    <t>Qtd Terceiro</t>
  </si>
  <si>
    <t>OUTUBRO</t>
  </si>
  <si>
    <t>A24</t>
  </si>
  <si>
    <t>Rótulos de Linha</t>
  </si>
  <si>
    <t>NOVEMBRO</t>
  </si>
  <si>
    <t>A44</t>
  </si>
  <si>
    <t>STATUS</t>
  </si>
  <si>
    <t>FRETE</t>
  </si>
  <si>
    <t>HR</t>
  </si>
  <si>
    <t>KM</t>
  </si>
  <si>
    <t>R$ PROP</t>
  </si>
  <si>
    <t>R$ TERC</t>
  </si>
  <si>
    <t>CHASSI</t>
  </si>
  <si>
    <t>REAL</t>
  </si>
  <si>
    <t>CLIENTE/NOTA</t>
  </si>
  <si>
    <t>SOLICITANTE</t>
  </si>
  <si>
    <t>ESTÁ:</t>
  </si>
  <si>
    <t>VAI:</t>
  </si>
  <si>
    <t>ESTÁ EM:</t>
  </si>
  <si>
    <t>VAI PARA:</t>
  </si>
  <si>
    <t>OBS</t>
  </si>
  <si>
    <t>FILIAL CUSTOS</t>
  </si>
  <si>
    <t>EQUIP</t>
  </si>
  <si>
    <t>CONCLUIDO</t>
  </si>
  <si>
    <t>1BM5060ECN4103629</t>
  </si>
  <si>
    <t>MANUTENÇÃO → CLIENTE</t>
  </si>
  <si>
    <t>daisy.kakol</t>
  </si>
  <si>
    <t>CLIENTE</t>
  </si>
  <si>
    <t>DE LOJA PARA CLIENTE</t>
  </si>
  <si>
    <t>MPA</t>
  </si>
  <si>
    <t>https://maps.app.goo.gl/MLVchYQrLvQGhWWp6</t>
  </si>
  <si>
    <t>cezar</t>
  </si>
  <si>
    <t>1BM5080ECP4111950</t>
  </si>
  <si>
    <t>https://maps.app.goo.gl/rYQLkSMERduCoffL8</t>
  </si>
  <si>
    <t>RICARDO DRANKA</t>
  </si>
  <si>
    <t>1BM5080EEP4112594</t>
  </si>
  <si>
    <t>CLIENTE → MANUTENÇÃO</t>
  </si>
  <si>
    <t>DE CLIENTE PARA LOJA</t>
  </si>
  <si>
    <t>https://maps.app.goo.gl/MTXwpjxVEM4SBPA46</t>
  </si>
  <si>
    <t>jose</t>
  </si>
  <si>
    <t>1BM5080EPS4204124</t>
  </si>
  <si>
    <t xml:space="preserve">LUIZ HENRIQUE GREIN -NF107347 </t>
  </si>
  <si>
    <t>euclides.junior</t>
  </si>
  <si>
    <t>GUARAPUAVA</t>
  </si>
  <si>
    <t>https://maps.app.goo.gl/jZEWqzLvNcpTnRBE8</t>
  </si>
  <si>
    <t>Emerson</t>
  </si>
  <si>
    <t>1CQFA30AAS0160114</t>
  </si>
  <si>
    <t>ARNALDO STOCK -NF107847</t>
  </si>
  <si>
    <t>https://maps.app.goo.gl/kFwUPivsMpYS8pGd8</t>
  </si>
  <si>
    <t xml:space="preserve">Fabio </t>
  </si>
  <si>
    <t>1CQS760ACS0160134</t>
  </si>
  <si>
    <t>https://maps.app.goo.gl/Kk5FKYUBPHUbo26P8</t>
  </si>
  <si>
    <t>1BM6135MPSH000596</t>
  </si>
  <si>
    <t>LAURO MIGUEL STRONA -NF76755</t>
  </si>
  <si>
    <t>marcio.jacovossi</t>
  </si>
  <si>
    <t>https://maps.app.goo.gl/JxzGitfYRrvxzYUL9</t>
  </si>
  <si>
    <t>LAURO MIGUEL STRONA   42 999269190</t>
  </si>
  <si>
    <t>1NW4025MVKF190132</t>
  </si>
  <si>
    <t>MARLON BONILHA -NF61707</t>
  </si>
  <si>
    <t>edenilson.mattos</t>
  </si>
  <si>
    <t>PONTA GROSSA</t>
  </si>
  <si>
    <t>https://maps.app.goo.gl/F6zwbnVFirHNNuCLA</t>
  </si>
  <si>
    <t>Contato CEN Alison 43.98409-2094</t>
  </si>
  <si>
    <t>1BM5060EES4201594</t>
  </si>
  <si>
    <t>JOAQUIM MASCARENHAS -NF278279</t>
  </si>
  <si>
    <t>marcos.ribas</t>
  </si>
  <si>
    <t>https://maps.app.goo.gl/s5tPSxgcuWhSkcKc7</t>
  </si>
  <si>
    <t>PAULO - +55 42 9991-2229 - AVISAR ANGELO PARA ACOMPANHAR</t>
  </si>
  <si>
    <t>1BM5060EAP4104558</t>
  </si>
  <si>
    <t>rafael.santos</t>
  </si>
  <si>
    <t>https://maps.app.goo.gl/PXTmMqoYPtx48Gex6</t>
  </si>
  <si>
    <t>LUCIANO DE FREITAS - 43 99624-6946</t>
  </si>
  <si>
    <t>1BM7215CVR3000057</t>
  </si>
  <si>
    <t>marcelo.ferreira</t>
  </si>
  <si>
    <t>https://maps.app.goo.gl/pQZUg9LPg5sgdyLs8</t>
  </si>
  <si>
    <t>GABRIEL - 42 -99972-7464</t>
  </si>
  <si>
    <t>1P06110DABA021136</t>
  </si>
  <si>
    <t>leonardo.ramos</t>
  </si>
  <si>
    <t>https://maps.app.goo.gl/zzmzdRt4m8WXMVjg9</t>
  </si>
  <si>
    <t>JUNIOR +55 42 8866-3271</t>
  </si>
  <si>
    <t>1BM6135MASH000623</t>
  </si>
  <si>
    <t>VLADEMIR STORTI -NF107917</t>
  </si>
  <si>
    <t>https://maps.app.goo.gl/giUyNXP6omVdANbb6</t>
  </si>
  <si>
    <t>Vladmir</t>
  </si>
  <si>
    <t>1BM5080EKS4203735</t>
  </si>
  <si>
    <t>VERIDIANA POSS DE LIMA -NF61217</t>
  </si>
  <si>
    <t>josiane.oliveira</t>
  </si>
  <si>
    <t>https://maps.app.goo.gl/oLpnxFw9huVdueSf7</t>
  </si>
  <si>
    <t>Veridiana 043984053787 -CEN Alison Russi</t>
  </si>
  <si>
    <t>CONCLUIDO (D)</t>
  </si>
  <si>
    <t>1CQ0630AHR0155127</t>
  </si>
  <si>
    <t>MARCELO RIBEIRO DE NARDI -NF278794</t>
  </si>
  <si>
    <t>https://maps.app.goo.gl/2DJawZBMR4yqycss9</t>
  </si>
  <si>
    <t xml:space="preserve">DANILO - MARCELO </t>
  </si>
  <si>
    <t>1CQS550AER0155105</t>
  </si>
  <si>
    <t>1BM6135MCSH000563</t>
  </si>
  <si>
    <t>WILLEM HENDRIK VAN DE RIET -NF109953</t>
  </si>
  <si>
    <t>fernando.wiesinies</t>
  </si>
  <si>
    <t>https://maps.app.goo.gl/B5W3gFAkVjKrxcms8</t>
  </si>
  <si>
    <t xml:space="preserve">(42)999730047 Willen </t>
  </si>
  <si>
    <t>1CQS680ATF0110209</t>
  </si>
  <si>
    <t>DOUGLAS FANCHIN TAQUES FONSECA -NF278835</t>
  </si>
  <si>
    <t>https://maps.app.goo.gl/GfTKV558G2iXHWmg8</t>
  </si>
  <si>
    <t>VALTINHO 42-99920-3056</t>
  </si>
  <si>
    <t>1BM6180JKDD001849</t>
  </si>
  <si>
    <t>gustavo.erdmann</t>
  </si>
  <si>
    <t>https://maps.app.goo.gl/Yk2FrxveQ1BNpLmN8</t>
  </si>
  <si>
    <t>Cassio</t>
  </si>
  <si>
    <t>1BM6100JVSD602522</t>
  </si>
  <si>
    <t xml:space="preserve">ADILSON KRASSOSKI -NF11620 </t>
  </si>
  <si>
    <t>https://maps.app.goo.gl/nUnfbBeivgDPDFmy6</t>
  </si>
  <si>
    <t>Adilson</t>
  </si>
  <si>
    <t>QUEDAS DO IGUAÇU</t>
  </si>
  <si>
    <t>AAAP1112CGS000944</t>
  </si>
  <si>
    <t>TRANSF -NF000076886</t>
  </si>
  <si>
    <t>PRUDENTÓPOLIS</t>
  </si>
  <si>
    <t>DE LOJA PARA LOJA</t>
  </si>
  <si>
    <t>N/A</t>
  </si>
  <si>
    <t>1BM5078EHS4200616</t>
  </si>
  <si>
    <t>TRANSF -NF000076884</t>
  </si>
  <si>
    <t>1BM6150JCSD642412</t>
  </si>
  <si>
    <t>9AGC1007EHS000187</t>
  </si>
  <si>
    <t>TRANSF -NF000076891</t>
  </si>
  <si>
    <t>1BM6100JESD602123</t>
  </si>
  <si>
    <t>OSWALDO R BARBOSA -NF107698</t>
  </si>
  <si>
    <t>https://maps.app.goo.gl/3mYP9KzrASogJS3w9</t>
  </si>
  <si>
    <t>Oswaldo</t>
  </si>
  <si>
    <t>1CQRD30AVS0160245</t>
  </si>
  <si>
    <t>DOUGLAS FONSECA -NF 107225</t>
  </si>
  <si>
    <t>DE LOJA PARA DEMONSTRAÇÃO</t>
  </si>
  <si>
    <t>https://maps.app.goo.gl/xyQpe8BG44WqsG1v9</t>
  </si>
  <si>
    <t>1CQS550APS0160136</t>
  </si>
  <si>
    <t>1BM7230JCPH010913</t>
  </si>
  <si>
    <t>https://maps.app.goo.gl/xb5MkVzoE3pEMvuw8</t>
  </si>
  <si>
    <t>FABIO - 42-99921-1220</t>
  </si>
  <si>
    <t>1BM7225JCGH004564</t>
  </si>
  <si>
    <t>https://maps.app.goo.gl/TWUFTdA34fB48Hvv8</t>
  </si>
  <si>
    <t>RUBINHO 42- 99972-3850</t>
  </si>
  <si>
    <t>1BM5060EPS4201602</t>
  </si>
  <si>
    <t>CARLOS EDINEI KNAUT → MANUTENÇÃO</t>
  </si>
  <si>
    <t>https://maps.app.goo.gl/EGGjvMh2LpNr1STk7</t>
  </si>
  <si>
    <t>OFICINA</t>
  </si>
  <si>
    <t>1BM5080ECN4109659</t>
  </si>
  <si>
    <t>ANSELMO WASELECHEN → MANUTENÇÃO</t>
  </si>
  <si>
    <t>https://maps.app.goo.gl/fhc785TjS54Vtjgc8</t>
  </si>
  <si>
    <t>MANUTENÇÃO → JOSE VALCIR MOREIRA DA SILVA</t>
  </si>
  <si>
    <t>https://maps.app.goo.gl/u6RQ92AcKr5YZVN5A</t>
  </si>
  <si>
    <t>JOSE VALCIR</t>
  </si>
  <si>
    <t>1XBDN10BHPP000280</t>
  </si>
  <si>
    <t>MARLON BONILHA -NF61887</t>
  </si>
  <si>
    <t>https://maps.app.goo.gl/w3owGFpERZASWfsU6</t>
  </si>
  <si>
    <t>Marlon Bonilha CEN Alison Russi</t>
  </si>
  <si>
    <t>PRUDENTOPOLIS</t>
  </si>
  <si>
    <t>1BM5080EKS4204142</t>
  </si>
  <si>
    <t>ANDRE J NASCIMENTO -NF76885</t>
  </si>
  <si>
    <t>https://maps.app.goo.gl/VQtNqdXpX1Nn1Cwt8</t>
  </si>
  <si>
    <t>ANDRÉ  42 920007503</t>
  </si>
  <si>
    <t>1BM5080EVS4203951</t>
  </si>
  <si>
    <t>TIAGO J KOCHINHERKO -NF76887</t>
  </si>
  <si>
    <t>https://maps.app.goo.gl/z97gB1Y9xEQEsjNf6</t>
  </si>
  <si>
    <t>TIAGO 42 998121951</t>
  </si>
  <si>
    <t>1BM5080EJN4108551</t>
  </si>
  <si>
    <t>ADILSON P FURTADO -NF?</t>
  </si>
  <si>
    <t>https://maps.app.goo.gl/tLcmyZnTmDtxQsvb6</t>
  </si>
  <si>
    <t xml:space="preserve">  ADILSON APARECIDO FURTADO 43 - 99864 - 9233</t>
  </si>
  <si>
    <t>1BM6100JCSD602163</t>
  </si>
  <si>
    <t>RONALDO RABBERS -NF109962</t>
  </si>
  <si>
    <t>https://maps.app.goo.gl/6skd9a23gozJLC8q6?g_st=aw</t>
  </si>
  <si>
    <t>Lucas (42)988040302</t>
  </si>
  <si>
    <t>1BM5080ETS6204305</t>
  </si>
  <si>
    <t>SILO DO MALOCA -NF61894</t>
  </si>
  <si>
    <t>DE LOJA PARA DEMONSTRAÇÃO</t>
  </si>
  <si>
    <t>https://maps.app.goo.gl/TYsDXWU4kqkeGb8D6</t>
  </si>
  <si>
    <t>Conexão JD Estática + Jantar - São José da Boa Vista</t>
  </si>
  <si>
    <t>1BM5080EVS4204226</t>
  </si>
  <si>
    <t>1CQFA25APS0160156</t>
  </si>
  <si>
    <t>1CQS440ACS0155147</t>
  </si>
  <si>
    <r>
      <t xml:space="preserve">SILO DO MALOCA -NF61894 </t>
    </r>
    <r>
      <rPr>
        <i/>
        <u/>
        <sz val="11"/>
        <color theme="1"/>
        <rFont val="Calibri"/>
      </rPr>
      <t>VOLTA</t>
    </r>
  </si>
  <si>
    <t>1BM7230CVS3001962</t>
  </si>
  <si>
    <t>FAZENDINHA -NF61895</t>
  </si>
  <si>
    <t>DE CLIENTE PARA CLIENTE</t>
  </si>
  <si>
    <t>https://maps.app.goo.gl/HAQzMitpSPVxhKFi9</t>
  </si>
  <si>
    <t>1NW4030MES0250870</t>
  </si>
  <si>
    <t>VIKTOR LEH -NF107863 - AET ESP+ESCOLTA</t>
  </si>
  <si>
    <t>https://maps.app.goo.gl/CR8ypB1Pd9ZCuWzE6</t>
  </si>
  <si>
    <t xml:space="preserve">Viktor </t>
  </si>
  <si>
    <t>1CQ1213AHS0155196</t>
  </si>
  <si>
    <t>1CQRD30AVS0160116</t>
  </si>
  <si>
    <t>JAN NOORDEGRAAF NETO -NF61591</t>
  </si>
  <si>
    <t>https://maps.app.goo.gl/w2FYcAi8ZYYfJ88Y8</t>
  </si>
  <si>
    <t>JAN NOORDEGRAAF NETO 042999791942 - CEN PAULO HOPATA</t>
  </si>
  <si>
    <t>1CQS550AAS0160130</t>
  </si>
  <si>
    <t>HCCB251KEKC318677</t>
  </si>
  <si>
    <t>NOTA DO CLIENTE</t>
  </si>
  <si>
    <t>JAN NOORDEGRAAF NETO 43999791942 - CEN PAULO HOPATA</t>
  </si>
  <si>
    <t>JHFY3585PKJF12965</t>
  </si>
  <si>
    <t>1BM6100JTSD602254</t>
  </si>
  <si>
    <t>PATRICIA H O HASEGAWA -NF106525</t>
  </si>
  <si>
    <t>https://maps.app.goo.gl/sUh1AADFcu4n8yPE8?g_st=iw</t>
  </si>
  <si>
    <t>Patricia</t>
  </si>
  <si>
    <t>1BM6100JCSD602446</t>
  </si>
  <si>
    <t>BRUNNO F VIOMAR -NF 107324</t>
  </si>
  <si>
    <t>https://maps.app.goo.gl/dMP2u2euHz5GQfGg7</t>
  </si>
  <si>
    <t>Bruno</t>
  </si>
  <si>
    <t>Y8C525126</t>
  </si>
  <si>
    <t>ANDRE MUZZOLON TURCO -NF10833</t>
  </si>
  <si>
    <t>https://maps.app.goo.gl/k8sSRQfK1xFP8eN89</t>
  </si>
  <si>
    <t>Andre</t>
  </si>
  <si>
    <t>1BM5060EVS4201539</t>
  </si>
  <si>
    <t>OSMAR DIATCZUK -NF 30883</t>
  </si>
  <si>
    <t>https://maps.google.com/maps?q=-25.1189094%2C-51.0372015&amp;z=17&amp;hl=pt-BR</t>
  </si>
  <si>
    <t>Osmar (42) 99908-3514</t>
  </si>
  <si>
    <t>1BM7215CJSH000128</t>
  </si>
  <si>
    <t>GOLFE CLUB -NF79151</t>
  </si>
  <si>
    <t>carolina.quadros</t>
  </si>
  <si>
    <t>https://maps.app.goo.gl/nPrR72QZAjPCStGf7</t>
  </si>
  <si>
    <t>Silvana +55 42 9955-7892 (Golf Clube)</t>
  </si>
  <si>
    <t>1BM6210MPS3001463</t>
  </si>
  <si>
    <t>1BM6100JTSD602559</t>
  </si>
  <si>
    <t>HAROLDO L R FILHO -NF109957</t>
  </si>
  <si>
    <t>https://maps.app.goo.gl/SAQGugLBfo1Uqy2XA?g_st=awb</t>
  </si>
  <si>
    <t>Haroldo (51)99902-8053</t>
  </si>
  <si>
    <t>TERCEIRO VERMELHO</t>
  </si>
  <si>
    <t>1BM5080EPS6204421</t>
  </si>
  <si>
    <t>COLONIA ADELAIDE- NÃO TEM NF</t>
  </si>
  <si>
    <t>https://maps.app.goo.gl/BxL47zGps2wAbAig9</t>
  </si>
  <si>
    <t>1BM5060EES4201644</t>
  </si>
  <si>
    <t>Conexão JD -NF279152</t>
  </si>
  <si>
    <t>https://maps.app.goo.gl/tbQZRQV4a7fp35NM6</t>
  </si>
  <si>
    <t>Conexão JD - Estática - Palmeira -Água Clara</t>
  </si>
  <si>
    <t>1BM5080ECS4204234</t>
  </si>
  <si>
    <t>1BM5080ELS4204066</t>
  </si>
  <si>
    <t>EM ROTA (D)</t>
  </si>
  <si>
    <r>
      <t xml:space="preserve">GOLFE CLUB -NF79151 </t>
    </r>
    <r>
      <rPr>
        <i/>
        <u/>
        <sz val="11"/>
        <color theme="1"/>
        <rFont val="Calibri"/>
      </rPr>
      <t>VOLTA</t>
    </r>
  </si>
  <si>
    <t>https://maps.app.goo.gl/rhzoBgFndL48HhK79</t>
  </si>
  <si>
    <t>DEMO - Golfe Clube *16h00 - Ponta Grossa</t>
  </si>
  <si>
    <t>1BM7230CKS3002086</t>
  </si>
  <si>
    <t>EM ROTA</t>
  </si>
  <si>
    <t>1BM5060EPS2200929</t>
  </si>
  <si>
    <t>GERIEL SENE DIVINO -NF??</t>
  </si>
  <si>
    <t>https://maps.app.goo.gl/cy4n8tkKBBwiz9GHA</t>
  </si>
  <si>
    <t>GERIEL 43996186373 - ALISON RUSSI</t>
  </si>
  <si>
    <r>
      <t xml:space="preserve">Conexão JD -NF279152  </t>
    </r>
    <r>
      <rPr>
        <i/>
        <u/>
        <sz val="11"/>
        <color theme="1"/>
        <rFont val="Calibri"/>
      </rPr>
      <t>VOLTA</t>
    </r>
  </si>
  <si>
    <t>Conexão JD -NF?</t>
  </si>
  <si>
    <t>https://maps.app.goo.gl/3soe1M5yfNku9zP88</t>
  </si>
  <si>
    <t xml:space="preserve">Conexão JD - Estática - Ipiranga </t>
  </si>
  <si>
    <t>RECEBIDO (D)</t>
  </si>
  <si>
    <t>NÃO DEFINIDO</t>
  </si>
  <si>
    <t>NÃO INFORMADO- NÃO TEM NF</t>
  </si>
  <si>
    <t>https://maps.app.goo.gl/kgJbu1HMjsUxtg7P7</t>
  </si>
  <si>
    <t>Conexão JD - Piraí do Sul</t>
  </si>
  <si>
    <t>1CQFA25ALS0160148</t>
  </si>
  <si>
    <t>1CQS440AVS0155148</t>
  </si>
  <si>
    <r>
      <t xml:space="preserve">FAZENDINHA -NF61895  </t>
    </r>
    <r>
      <rPr>
        <i/>
        <u/>
        <sz val="11"/>
        <color theme="1"/>
        <rFont val="Calibri"/>
      </rPr>
      <t>VOLTA</t>
    </r>
  </si>
  <si>
    <t>https://maps.app.goo.gl/1TQNr4KwZ3aiboXJ6</t>
  </si>
  <si>
    <t>Conexão JD + Jantar - Ortigueira -Sindicato Rural</t>
  </si>
  <si>
    <r>
      <rPr>
        <i/>
        <sz val="11"/>
        <color rgb="FF000000"/>
        <rFont val="Calibri"/>
      </rPr>
      <t xml:space="preserve">COLONIA ADELAIDE- NF ? </t>
    </r>
    <r>
      <rPr>
        <i/>
        <u/>
        <sz val="11"/>
        <color rgb="FF000000"/>
        <rFont val="Calibri"/>
      </rPr>
      <t>VOLTA</t>
    </r>
  </si>
  <si>
    <r>
      <rPr>
        <i/>
        <sz val="11"/>
        <color rgb="FF000000"/>
        <rFont val="Calibri"/>
      </rPr>
      <t xml:space="preserve">Conexão JD -NF? </t>
    </r>
    <r>
      <rPr>
        <i/>
        <u/>
        <sz val="11"/>
        <color rgb="FF000000"/>
        <rFont val="Calibri"/>
      </rPr>
      <t>VOLTA</t>
    </r>
  </si>
  <si>
    <r>
      <t xml:space="preserve">MARCELO RIBEIRO NARDI -NF278794  </t>
    </r>
    <r>
      <rPr>
        <i/>
        <u/>
        <sz val="11"/>
        <color theme="1"/>
        <rFont val="Calibri"/>
      </rPr>
      <t>VOLTA</t>
    </r>
  </si>
  <si>
    <t>https://maps.app.goo.gl/1TQNr4KwZ3aiboXJ7</t>
  </si>
  <si>
    <t>https://maps.app.goo.gl/1TQNr4KwZ3aiboXJ8</t>
  </si>
  <si>
    <t>https://maps.app.goo.gl/1TQNr4KwZ3aiboXJ9</t>
  </si>
  <si>
    <t>RECEBIDO</t>
  </si>
  <si>
    <t>1BM5080EJS2202873</t>
  </si>
  <si>
    <t>RICARDO TOREZAN - NF??</t>
  </si>
  <si>
    <t>https://maps.app.goo.gl/LjXYRPEnMre3jJkVA</t>
  </si>
  <si>
    <t>Alison Russi +55 43 8409-2094</t>
  </si>
  <si>
    <t>SUSPENSO</t>
  </si>
  <si>
    <t>SITIO SÃO JOÃO -NF279149</t>
  </si>
  <si>
    <t>https://maps.app.goo.gl/Pdqbe6rfdzAyjWvL8</t>
  </si>
  <si>
    <t>Demonstração + Dia de Campo - Ponta Grossa</t>
  </si>
  <si>
    <t>1BM5080EVS6204327</t>
  </si>
  <si>
    <t>MARIA BORKOSKI -NF278379</t>
  </si>
  <si>
    <t>https://maps.app.goo.gl/pz4jP4cRzqhcm3mP6</t>
  </si>
  <si>
    <t>GERALDO - GABRIEL - AVISAR CLEBER PARA ACOMPANHAR</t>
  </si>
  <si>
    <t>1BM5080EVS6204375</t>
  </si>
  <si>
    <t>CARLA BORKOSKI -NF278340</t>
  </si>
  <si>
    <t>1CQFA25AES0160153</t>
  </si>
  <si>
    <t>MARCELO RIBEIRO DE NARDI -NF</t>
  </si>
  <si>
    <t>https://maps.app.goo.gl/a7As7SRaDnZSRB6c6</t>
  </si>
  <si>
    <t>DANILO - AVISAR ROITEMAN PARA ACOMPANHAR</t>
  </si>
  <si>
    <t>1CQS440AES0155172</t>
  </si>
  <si>
    <t>FILIAL</t>
  </si>
  <si>
    <t>PDDO</t>
  </si>
  <si>
    <t>CÓD</t>
  </si>
  <si>
    <t>FORNECEDOR</t>
  </si>
  <si>
    <t>STATUS PC</t>
  </si>
  <si>
    <t>Nº NOTA</t>
  </si>
  <si>
    <t>LANÇADA</t>
  </si>
  <si>
    <t>OBSERVAÇÕES</t>
  </si>
  <si>
    <t>SALVAR COMO</t>
  </si>
  <si>
    <t>048043</t>
  </si>
  <si>
    <t>MEGA TRUCK ACESSORIOS - MT</t>
  </si>
  <si>
    <t>Aprovado</t>
  </si>
  <si>
    <t>Frete Máq. Trator</t>
  </si>
  <si>
    <t>047572</t>
  </si>
  <si>
    <t>AGROMAQ -TR MAQ</t>
  </si>
  <si>
    <t>Entrega do distribuidor de nutrientes Tomazina</t>
  </si>
  <si>
    <t>Frete Máq. Colheitadeira</t>
  </si>
  <si>
    <t>047752</t>
  </si>
  <si>
    <t>047872</t>
  </si>
  <si>
    <t>JAPA MARRERO -TR MAQ</t>
  </si>
  <si>
    <t>Transporte de distribuidor de fertilizantes em Indaiatuba para</t>
  </si>
  <si>
    <t>Frete Máq. Plataforma</t>
  </si>
  <si>
    <t>TRANSPORTE DE TRATOR DE SANTANA DO ITARARE PARA ARAPOT</t>
  </si>
  <si>
    <t>047873</t>
  </si>
  <si>
    <t>MULTISOLDAS E MUNCK</t>
  </si>
  <si>
    <t>munck: (des)carregar  peças e implementos para a loja (Pneus em 2 dias da semana)</t>
  </si>
  <si>
    <t>Frete Máq. Plantadeira</t>
  </si>
  <si>
    <t>047897</t>
  </si>
  <si>
    <t>047929</t>
  </si>
  <si>
    <t>TRANSCAPITINGA-TR MAQ</t>
  </si>
  <si>
    <t>Carregar uma plantadeira em um caminhão com a ajuda de 2 munck</t>
  </si>
  <si>
    <t>047933</t>
  </si>
  <si>
    <t>MAZETTO -TR MAQ</t>
  </si>
  <si>
    <t>Y8C525126 ANDRE MUZZOLON TURCO -NF10833</t>
  </si>
  <si>
    <t>1BM6100JTSD602254 PATRICIA H O HASEGAWA -NF106525</t>
  </si>
  <si>
    <t>1BM6100JCSD602446 BRUNNO F VIOMAR -NF 107324</t>
  </si>
  <si>
    <t>048040</t>
  </si>
  <si>
    <t>Aguardando</t>
  </si>
  <si>
    <t>Frete Serviços - 1BM5060EAP4104558 Retorno Conserto</t>
  </si>
  <si>
    <t>Frete Máq. Pulverizador</t>
  </si>
  <si>
    <t>047803</t>
  </si>
  <si>
    <t>LUG -TR MAQ</t>
  </si>
  <si>
    <t>047889</t>
  </si>
  <si>
    <t>CTE EMITIDO ERRADO - SERÁ DESCONTADO N PROX. FATURA DE IRATI</t>
  </si>
  <si>
    <t>047900</t>
  </si>
  <si>
    <t>CTE - TOMADOR INCORRETO</t>
  </si>
  <si>
    <t>047901</t>
  </si>
  <si>
    <t>047805</t>
  </si>
  <si>
    <t>ARNALDO STOCK -NF107847 - FRETE COLHEITADEIRA</t>
  </si>
  <si>
    <t>ARNALDO STOCK -NF107847 - FRETE PLATAFORMA</t>
  </si>
  <si>
    <t>LUIZ HENRIQUE GREIN -NF107347 - FRETE TRATOR</t>
  </si>
  <si>
    <t>VLADEMIR STORTI -NF107917 - FRETE TRATOR</t>
  </si>
  <si>
    <t>QUEDAS</t>
  </si>
  <si>
    <t>047935</t>
  </si>
  <si>
    <t>ADILSON KRASSOSKI -NF11620  - FRETE TRATOR</t>
  </si>
  <si>
    <t>047902</t>
  </si>
  <si>
    <t>047806</t>
  </si>
  <si>
    <t>OSWALDO R BARBOSA -NF107698 - FRETE TRATOR</t>
  </si>
  <si>
    <t>047801</t>
  </si>
  <si>
    <t>MONTPAR GUINDASTES</t>
  </si>
  <si>
    <t>Retirada de tanque de pulverizador - serviços</t>
  </si>
  <si>
    <t>047804</t>
  </si>
  <si>
    <t>RONALDO RABBERS -NF109962 - FRETE TRATOR</t>
  </si>
  <si>
    <t>047750</t>
  </si>
  <si>
    <t>CTE KLABIN</t>
  </si>
  <si>
    <t>CTE SINAL SERVIÇOS</t>
  </si>
  <si>
    <t>047757</t>
  </si>
  <si>
    <t>CTE - COCAMAR</t>
  </si>
  <si>
    <t>047687</t>
  </si>
  <si>
    <t>047738</t>
  </si>
  <si>
    <t>munck: (des)carregar  peças e implementos para a loja</t>
  </si>
  <si>
    <t>047685</t>
  </si>
  <si>
    <t>047525</t>
  </si>
  <si>
    <t xml:space="preserve">Levar peça na Propriedade do cliente  </t>
  </si>
  <si>
    <t>047553</t>
  </si>
  <si>
    <t>ANDREANI - MT</t>
  </si>
  <si>
    <t>Diagnóstico e testes via aparelho - VW</t>
  </si>
  <si>
    <t>Conector e sensor de rotação e tomada - VW</t>
  </si>
  <si>
    <t>047527</t>
  </si>
  <si>
    <t>Peça de GRPVA para PG</t>
  </si>
  <si>
    <t>047550</t>
  </si>
  <si>
    <t xml:space="preserve">1. levar peças para Bituruna Pr Cliente Jean Carlos de Bastiane </t>
  </si>
  <si>
    <t>047267</t>
  </si>
  <si>
    <t>FIN</t>
  </si>
  <si>
    <t>047249</t>
  </si>
  <si>
    <t>047383</t>
  </si>
  <si>
    <t>SERIE4 - MT 1</t>
  </si>
  <si>
    <t>peças: correia, polia lisa, polia virabrequim, tensionador -vw</t>
  </si>
  <si>
    <t>serviço de manutenção e troca -vw</t>
  </si>
  <si>
    <t>047244</t>
  </si>
  <si>
    <t>047437</t>
  </si>
  <si>
    <t>047243</t>
  </si>
  <si>
    <t>047233</t>
  </si>
  <si>
    <t xml:space="preserve">FRETE DE PEÇAS MOTOBOY X CLIENTE                                                </t>
  </si>
  <si>
    <t>047246</t>
  </si>
  <si>
    <t>047315</t>
  </si>
  <si>
    <t>TRANSPORTE DE TRATOR DE JAPIRA PARA ARAPOTI</t>
  </si>
  <si>
    <t>TRANSPORTE DE TRATOR PARA SIQUEIRA CAMPOS VEREDIANA</t>
  </si>
  <si>
    <t>047349</t>
  </si>
  <si>
    <t>fin</t>
  </si>
  <si>
    <t>UTILIZAÇÃO DE MUNCK PARA CARREGAR E DESCARREGAR NA LOJA</t>
  </si>
  <si>
    <t>047247</t>
  </si>
  <si>
    <t>MOTOBOY X CLIENTE: ENTREGAS DO MÊS DE OUTUBRO</t>
  </si>
  <si>
    <t>047269</t>
  </si>
  <si>
    <t>STOSKI -TR MAQ</t>
  </si>
  <si>
    <t>ENTREGA TRATOR 6135M - LAURO MIGUEL STRONA</t>
  </si>
  <si>
    <t>047199</t>
  </si>
  <si>
    <t>FRETE DE PEÇAS P/ CLIENTE</t>
  </si>
  <si>
    <t>MOTOBOY: TRANSF ENTRE LOJAS GRPVA X CASTRO</t>
  </si>
  <si>
    <t>047268</t>
  </si>
  <si>
    <t>MOTOBOY: orçamento  79186</t>
  </si>
  <si>
    <t>047348</t>
  </si>
  <si>
    <t>CTE - KLABIN TB</t>
  </si>
  <si>
    <t>047258</t>
  </si>
  <si>
    <t>047186</t>
  </si>
  <si>
    <t>FRETE DE PEÇAS - ESC</t>
  </si>
  <si>
    <t>047187</t>
  </si>
  <si>
    <t>047188</t>
  </si>
  <si>
    <t>047189</t>
  </si>
  <si>
    <t>047190</t>
  </si>
  <si>
    <t>047192</t>
  </si>
  <si>
    <t>047193</t>
  </si>
  <si>
    <t>047178</t>
  </si>
  <si>
    <t>DNIT</t>
  </si>
  <si>
    <t>BOLETO</t>
  </si>
  <si>
    <t>BOLETO DNIT - AET TRIMESTRAL VW (120006)</t>
  </si>
  <si>
    <t>047117</t>
  </si>
  <si>
    <t>DETRAN PR</t>
  </si>
  <si>
    <t>Reboque: sem ABS correto</t>
  </si>
  <si>
    <t>Reboque: Licenciamento 2025</t>
  </si>
  <si>
    <t>047116</t>
  </si>
  <si>
    <t>DER - AET VEICULOS</t>
  </si>
  <si>
    <t>33 - D.A. - GRU - Multas de Radares; velocidade: acima de 20%</t>
  </si>
  <si>
    <t>047552</t>
  </si>
  <si>
    <t>GRICZYNSKI -TR MAQ</t>
  </si>
  <si>
    <t>047573</t>
  </si>
  <si>
    <t>MUNCK IRATI -TR MAQ</t>
  </si>
  <si>
    <t>Transporte de plataforma usada de irati para prude</t>
  </si>
  <si>
    <t>047758</t>
  </si>
  <si>
    <t>INCOMESPMUNCK -TR MAQ</t>
  </si>
  <si>
    <t>SERVIÇO DE MUNK - DESCARREGAR PLATAFORMA</t>
  </si>
  <si>
    <t>047732</t>
  </si>
  <si>
    <t>SUL LONAS - MT</t>
  </si>
  <si>
    <t>FLC LONIL VERDE / PRETO CAPAS COLHETADEIRA E LANÇAS</t>
  </si>
  <si>
    <t>047802</t>
  </si>
  <si>
    <t>ZORTEA -TR MAQ</t>
  </si>
  <si>
    <t>047892</t>
  </si>
  <si>
    <t>047893</t>
  </si>
  <si>
    <t>047733</t>
  </si>
  <si>
    <t>Manutenção em todas as rodas - VW</t>
  </si>
  <si>
    <t>047800</t>
  </si>
  <si>
    <t>Compra de filtro racor c/dreno</t>
  </si>
  <si>
    <t>Troca do filtro racor</t>
  </si>
  <si>
    <t>047871</t>
  </si>
  <si>
    <t>047895</t>
  </si>
  <si>
    <t>048045</t>
  </si>
  <si>
    <t>S M MUNCK - TR MAQ</t>
  </si>
  <si>
    <t>LEVAR 1213 PARA CLIENTE</t>
  </si>
  <si>
    <t>DATA DA COLETA</t>
  </si>
  <si>
    <t>ENTREGAR ATÉ</t>
  </si>
  <si>
    <t>MOTOBOY OU DEDICADO?</t>
  </si>
  <si>
    <t>ESCOLHA O MOTOBOY</t>
  </si>
  <si>
    <t>VALOR DO SERVIÇO</t>
  </si>
  <si>
    <t>QUEM IRÁ PAGAR?</t>
  </si>
  <si>
    <t>DESCRIÇÃO</t>
  </si>
  <si>
    <t>PC PARA LOJA</t>
  </si>
  <si>
    <t>ENVIAR PC PARA</t>
  </si>
  <si>
    <t>DIMENSÕES</t>
  </si>
  <si>
    <t>LOC COLETA</t>
  </si>
  <si>
    <t>LOC ENTREGA</t>
  </si>
  <si>
    <t>SUGESTÃO TRANSP</t>
  </si>
  <si>
    <t>gabriel.mainardes</t>
  </si>
  <si>
    <t>SIM, VAI POR MOTOBOY/COURIER (exemplo: é leve, um motoboy ou derivado consegue levar)</t>
  </si>
  <si>
    <t>ANDREIA ROSA  |  61.196.032/0001-07</t>
  </si>
  <si>
    <t>70,00</t>
  </si>
  <si>
    <t>ENTREGA DE PEÇA PARA O CLIENTE MARCOS DA SILVA</t>
  </si>
  <si>
    <t>rafael.turko</t>
  </si>
  <si>
    <t>MARCOS DOMINGUES  |  51.496.564/0001-06</t>
  </si>
  <si>
    <t>220,00</t>
  </si>
  <si>
    <t>Entrega de peças para cliente Sergio Rubens de Souza</t>
  </si>
  <si>
    <t>Direto para o motoboy (42) 99919-9747</t>
  </si>
  <si>
    <t>REGISTRADO</t>
  </si>
  <si>
    <t>R$420,00</t>
  </si>
  <si>
    <t>Entrega de peças cliente Karina Rickli</t>
  </si>
  <si>
    <t>N</t>
  </si>
  <si>
    <t>NOME</t>
  </si>
  <si>
    <t>SIG</t>
  </si>
  <si>
    <t>CHA</t>
  </si>
  <si>
    <t>A</t>
  </si>
  <si>
    <t>C</t>
  </si>
  <si>
    <t>L MIN</t>
  </si>
  <si>
    <t>L MAX</t>
  </si>
  <si>
    <t>PESO</t>
  </si>
  <si>
    <t>SOLICITAÇÕES</t>
  </si>
  <si>
    <t>CNPJ/CPF</t>
  </si>
  <si>
    <t>Razao Social</t>
  </si>
  <si>
    <t>N Fantasia</t>
  </si>
  <si>
    <t>Home-Page</t>
  </si>
  <si>
    <t>FORNECEDORES</t>
  </si>
  <si>
    <t>PRODUTO</t>
  </si>
  <si>
    <t>MacPonta AGRO – 00.702.079/0001-00</t>
  </si>
  <si>
    <t>010101</t>
  </si>
  <si>
    <t>TRATOR 3000</t>
  </si>
  <si>
    <t>TR</t>
  </si>
  <si>
    <t>3036</t>
  </si>
  <si>
    <t>3036EN</t>
  </si>
  <si>
    <t>ALEXANDRE CARLOS DE MORAES</t>
  </si>
  <si>
    <t>ALEXANDRE C. COURIER</t>
  </si>
  <si>
    <t>LOG - IVAIPORA PR</t>
  </si>
  <si>
    <t>COURIER</t>
  </si>
  <si>
    <t>MC_016</t>
  </si>
  <si>
    <t>Frete Máquinas</t>
  </si>
  <si>
    <t>Ponta Grossa PR– Av. Sen. Flávio Carvalho Guimarães, 2100 - Boa Vista, 84072-190</t>
  </si>
  <si>
    <t>TRATOR 5000</t>
  </si>
  <si>
    <t>5060</t>
  </si>
  <si>
    <t>5060E</t>
  </si>
  <si>
    <t>ANDREIA ROSA LIMA</t>
  </si>
  <si>
    <t>LOG - TIBAGI PR</t>
  </si>
  <si>
    <t>MC_017</t>
  </si>
  <si>
    <t>Frete Peças</t>
  </si>
  <si>
    <t>MacPonta AGRO – 00.702.079/0002-83</t>
  </si>
  <si>
    <t>010102</t>
  </si>
  <si>
    <t>5060EN</t>
  </si>
  <si>
    <t>ANDREW BAHLS 07919692903</t>
  </si>
  <si>
    <t>ANDREW B. COURIER</t>
  </si>
  <si>
    <t>LOG - PRUDENTOPOLIS PR</t>
  </si>
  <si>
    <t>MC_019</t>
  </si>
  <si>
    <t>Compra de Peças para Manutenção</t>
  </si>
  <si>
    <t>Castro PR–Av. Pref. Ronie Cardoso, 800 - Jardim das Araucarias, 84174-105</t>
  </si>
  <si>
    <t>5080EN</t>
  </si>
  <si>
    <t>ANILDE VACHESK 58475702953</t>
  </si>
  <si>
    <t>ANILDE V. COURIER</t>
  </si>
  <si>
    <t>LOG - ARAUCARIA PR</t>
  </si>
  <si>
    <t>SV_019</t>
  </si>
  <si>
    <t>Serviço de Manutenção</t>
  </si>
  <si>
    <t>MacPonta AGRO –00.702.079/0003-64</t>
  </si>
  <si>
    <t>010103</t>
  </si>
  <si>
    <t>5070</t>
  </si>
  <si>
    <t>5070E</t>
  </si>
  <si>
    <t>BRUNO GONCALVES MARRONI 11131998901</t>
  </si>
  <si>
    <t>BRUNO G. COURIER</t>
  </si>
  <si>
    <t>LOG - GUARAPUAVA PR</t>
  </si>
  <si>
    <t>SV_046_0010</t>
  </si>
  <si>
    <t>Serviço de Munck</t>
  </si>
  <si>
    <t>511010601026</t>
  </si>
  <si>
    <t>Irati PR– Rua Eduardo Van Der Larrs, S/N, Km 237 - Nhapindazal, 84500-536</t>
  </si>
  <si>
    <t>5078</t>
  </si>
  <si>
    <t>5078E</t>
  </si>
  <si>
    <t>BRUNO HIGINO SANTOS</t>
  </si>
  <si>
    <t>BRUNO H. COURIER</t>
  </si>
  <si>
    <t>LOG - ARAPOTI PR</t>
  </si>
  <si>
    <t>SV_046</t>
  </si>
  <si>
    <t>Serviço de Terceiro (em geral)</t>
  </si>
  <si>
    <t>MacPonta AGRO – 00.702.079/0004-45</t>
  </si>
  <si>
    <t>010104</t>
  </si>
  <si>
    <t>5080</t>
  </si>
  <si>
    <t>5080E</t>
  </si>
  <si>
    <t>CLOVIS BENEDITO DE OLIVEIRA</t>
  </si>
  <si>
    <t>CLOVIS B. COURIER</t>
  </si>
  <si>
    <t>LOG - CAMPO MOURÃO PR</t>
  </si>
  <si>
    <t>CENTRO DE CUSTO</t>
  </si>
  <si>
    <t>Arapoti PR– PR-092, 231, 84990-000</t>
  </si>
  <si>
    <t>5090</t>
  </si>
  <si>
    <t>5090E</t>
  </si>
  <si>
    <t>DANIEL GUEDES - MEI</t>
  </si>
  <si>
    <t>DANIEL G. COURIER</t>
  </si>
  <si>
    <t>LOG - IRATI PR</t>
  </si>
  <si>
    <t>Novos – Frete Máquinas e Manutenção</t>
  </si>
  <si>
    <t>MacPonta AGRO – 00.702.079/0005-26</t>
  </si>
  <si>
    <t>010105</t>
  </si>
  <si>
    <t>TRATOR 6000</t>
  </si>
  <si>
    <t>6100</t>
  </si>
  <si>
    <t>6100J</t>
  </si>
  <si>
    <t>J M N D SANTOS ENTREGAS E ENCOMENDAS</t>
  </si>
  <si>
    <t>LOG - PONTA GROSSA PR</t>
  </si>
  <si>
    <t>Peças Estoque – Frete Peças</t>
  </si>
  <si>
    <t>Guarapuava PR– Rodovia BR 277, Km 347 - Jardim das Americas, 85031-350</t>
  </si>
  <si>
    <t>6115</t>
  </si>
  <si>
    <t>6115J</t>
  </si>
  <si>
    <t>THIAGO MURILO DE MELO</t>
  </si>
  <si>
    <t>DLUCCA COURIER</t>
  </si>
  <si>
    <t>LOG - CASTRO PR</t>
  </si>
  <si>
    <t>Peças Comercial – Frete (Novos, CTE; entre lojas ou para clientes, motoboy e etc)</t>
  </si>
  <si>
    <t>MacPonta AGRO – 00.702.079/0006-07</t>
  </si>
  <si>
    <t>010106</t>
  </si>
  <si>
    <t>6125</t>
  </si>
  <si>
    <t>6125J</t>
  </si>
  <si>
    <t>ELCIO BOBALO</t>
  </si>
  <si>
    <t>ELCIO B. COURIER</t>
  </si>
  <si>
    <t>Serviços – Frete Peças, Serviço de Munck</t>
  </si>
  <si>
    <t>Prudentópolis PR– Rua 12 de Outubro, 21 - Vila Iguaçu, 84400-000</t>
  </si>
  <si>
    <t>6135</t>
  </si>
  <si>
    <t>6135J</t>
  </si>
  <si>
    <t>ERICSON SIDNEI HAAS</t>
  </si>
  <si>
    <t>ERICSON S. COURIER</t>
  </si>
  <si>
    <t>Usados – Frete Máquinas, Serviço de Munck e Serviço de Terceiros</t>
  </si>
  <si>
    <t>MacPonta AGRO – 00.702.079/0007-98</t>
  </si>
  <si>
    <t>010107</t>
  </si>
  <si>
    <t>6135M</t>
  </si>
  <si>
    <t>FERNANDO RAFAEL AGGENS</t>
  </si>
  <si>
    <t>FERNANDO R. COURIER</t>
  </si>
  <si>
    <t>quando for assunto relacionado a AP agricultura de precisão, dpto.</t>
  </si>
  <si>
    <t>Quedas do Iguaçu PR– Av. Ipê, 1495 - Centro, 85460-000</t>
  </si>
  <si>
    <t>6150</t>
  </si>
  <si>
    <t>6150J</t>
  </si>
  <si>
    <t>GABRIEL KAUE DOS SANTOS CHAGAS</t>
  </si>
  <si>
    <t>GABRIEL K COURIER</t>
  </si>
  <si>
    <t>FACILITIES quando for algo a manutenção de prédio ou reparações de predio.</t>
  </si>
  <si>
    <t>MacPonta AGRO – 00.702.079/0008-79</t>
  </si>
  <si>
    <t>010108</t>
  </si>
  <si>
    <t>6150M</t>
  </si>
  <si>
    <t>GELSON CAMARGO</t>
  </si>
  <si>
    <t>GELSON C. COURIER</t>
  </si>
  <si>
    <t>AET, DNIT, DER - CC DE OPERAÇÕES (GERAL)</t>
  </si>
  <si>
    <t>Tibagi PR– Av. Manoel das Dores, 891 - Centro, 84300-000</t>
  </si>
  <si>
    <t>6170</t>
  </si>
  <si>
    <t>6170J</t>
  </si>
  <si>
    <t>MOTO TAXI GLOBAL LTDA</t>
  </si>
  <si>
    <t>GLOBAL COURIER</t>
  </si>
  <si>
    <t>LOG - UMUARAMA PR</t>
  </si>
  <si>
    <t>ÁREA</t>
  </si>
  <si>
    <t>GRUPO APROVAÇÃO</t>
  </si>
  <si>
    <t>RATEIO</t>
  </si>
  <si>
    <t>6170M</t>
  </si>
  <si>
    <t>GUILHERME JUNIOR FERREIRA 11101480971</t>
  </si>
  <si>
    <t>GUILHERME J. COURIER</t>
  </si>
  <si>
    <t>Logística</t>
  </si>
  <si>
    <t>000016</t>
  </si>
  <si>
    <t>000001</t>
  </si>
  <si>
    <t>511010301003</t>
  </si>
  <si>
    <t>6190</t>
  </si>
  <si>
    <t>6190J</t>
  </si>
  <si>
    <t>HERCULES ALEXANDRE BORTOLOTTI</t>
  </si>
  <si>
    <t>HERCULES  COURIER</t>
  </si>
  <si>
    <t>LOG - LONDRINA PR</t>
  </si>
  <si>
    <t>Compras</t>
  </si>
  <si>
    <t>000012</t>
  </si>
  <si>
    <t>Retorno: 161</t>
  </si>
  <si>
    <t>6190M</t>
  </si>
  <si>
    <t>JESUINO VENTURA FERNANDES</t>
  </si>
  <si>
    <t>JESUINO V. COURIER</t>
  </si>
  <si>
    <t>LOG - WENCESLAU BRAZ PR</t>
  </si>
  <si>
    <t>Tipo</t>
  </si>
  <si>
    <t>Operação, Natureza e Chave</t>
  </si>
  <si>
    <t>PARA CADASTRAR FORNECEDOR</t>
  </si>
  <si>
    <t>6210</t>
  </si>
  <si>
    <t>6210J</t>
  </si>
  <si>
    <t>JOAO GUILHERME DOS SANTOS - MEI</t>
  </si>
  <si>
    <t>JOAO GUI. COURIER</t>
  </si>
  <si>
    <t>DACTE - CTE - Verificar</t>
  </si>
  <si>
    <t>Operação: 92 e Natureza: 2130 e Chave:X</t>
  </si>
  <si>
    <t>CNPJ:</t>
  </si>
  <si>
    <t>6210M</t>
  </si>
  <si>
    <t>JOHN ELVIS GALVAO DE OLIVEIRA</t>
  </si>
  <si>
    <t>NFS - NFS - N</t>
  </si>
  <si>
    <t>Operação: 87 e Natureza: 2130 e Chave:-</t>
  </si>
  <si>
    <t>Razão Social:</t>
  </si>
  <si>
    <t>TRATOR 7000</t>
  </si>
  <si>
    <t>7200</t>
  </si>
  <si>
    <t>7200J</t>
  </si>
  <si>
    <t>JOHN NICOLAU DA COSTA</t>
  </si>
  <si>
    <t>JOHN N. COURIER</t>
  </si>
  <si>
    <t>LOG - ALMIRANTE TAMANDARE PR</t>
  </si>
  <si>
    <t>DANFE - SPED - Verificar</t>
  </si>
  <si>
    <t>Operação: 51 e Natureza: 2110 e Chave:X</t>
  </si>
  <si>
    <t>Nome Fantasia:</t>
  </si>
  <si>
    <t>7215</t>
  </si>
  <si>
    <t>7215J</t>
  </si>
  <si>
    <t>RENAN LUCIANO CANETI</t>
  </si>
  <si>
    <t>Endereço (Rua e Bairro):</t>
  </si>
  <si>
    <t>7230</t>
  </si>
  <si>
    <t>7230J</t>
  </si>
  <si>
    <t>JORGE LUIZ DRUGAS</t>
  </si>
  <si>
    <t>JORGE LUIZ COURIER</t>
  </si>
  <si>
    <t>Estado:</t>
  </si>
  <si>
    <t>TRATOR 8000</t>
  </si>
  <si>
    <t>8250</t>
  </si>
  <si>
    <t>8250R</t>
  </si>
  <si>
    <t>JOSE AMILTON RODRIGUES DE LIMA</t>
  </si>
  <si>
    <t>LOGIN PRINCESA TRANSP</t>
  </si>
  <si>
    <t>Município:</t>
  </si>
  <si>
    <t>8270</t>
  </si>
  <si>
    <t>8270R</t>
  </si>
  <si>
    <t>AMILTON CESAR STRICKER RODRIGUES DE LIMA</t>
  </si>
  <si>
    <t>JOSEAMILTON2 COURIER</t>
  </si>
  <si>
    <t>Cidade</t>
  </si>
  <si>
    <t>CNPJ</t>
  </si>
  <si>
    <t>Código</t>
  </si>
  <si>
    <t>CEP:</t>
  </si>
  <si>
    <t>8295</t>
  </si>
  <si>
    <t>8295R</t>
  </si>
  <si>
    <t xml:space="preserve">JOSE AMILTON RODRIGUES DE LIMA        </t>
  </si>
  <si>
    <t>JOSEAMILTON3 COURIER</t>
  </si>
  <si>
    <t>00702079000100</t>
  </si>
  <si>
    <t>Mac1060#</t>
  </si>
  <si>
    <t>Telefone Principal:</t>
  </si>
  <si>
    <t>8320</t>
  </si>
  <si>
    <t>8320R</t>
  </si>
  <si>
    <t>LEONARDO BONFIM ASSME 09745950980</t>
  </si>
  <si>
    <t>LEO ASSME COURIER</t>
  </si>
  <si>
    <t>00702079000283</t>
  </si>
  <si>
    <t>Mac1062#</t>
  </si>
  <si>
    <t>Ins. Estadual:</t>
  </si>
  <si>
    <t>8345</t>
  </si>
  <si>
    <t>8345R</t>
  </si>
  <si>
    <t>LUCIAN LUIZ ORBACH</t>
  </si>
  <si>
    <t>LUCIAN L. COURIER</t>
  </si>
  <si>
    <t>00702079000364</t>
  </si>
  <si>
    <t>Mac1063#</t>
  </si>
  <si>
    <t>E-mail:</t>
  </si>
  <si>
    <t>8370</t>
  </si>
  <si>
    <t>8370R</t>
  </si>
  <si>
    <t>MARCELO ANTUNES</t>
  </si>
  <si>
    <t>MARCELO A. COURIER</t>
  </si>
  <si>
    <t>00702079000445</t>
  </si>
  <si>
    <t>Mac1064#</t>
  </si>
  <si>
    <t>PIX:</t>
  </si>
  <si>
    <t>8400</t>
  </si>
  <si>
    <t>8400R</t>
  </si>
  <si>
    <t>MARCOS DOMINGUES DE PAULA</t>
  </si>
  <si>
    <t>00702079000526</t>
  </si>
  <si>
    <t>Mac1065#</t>
  </si>
  <si>
    <t>Forma de pagamento:</t>
  </si>
  <si>
    <t>TRATOR 9000</t>
  </si>
  <si>
    <t>9R 440</t>
  </si>
  <si>
    <t>MARIELEN FIGURSKI DOS SANTOS</t>
  </si>
  <si>
    <t>MARIELEN F. COURIER</t>
  </si>
  <si>
    <t>LOG - SAO MATEUS DO SUL PR</t>
  </si>
  <si>
    <t>00702079000607</t>
  </si>
  <si>
    <t>Mac1066#</t>
  </si>
  <si>
    <t>Nome Representante:</t>
  </si>
  <si>
    <t>9R 490</t>
  </si>
  <si>
    <t>MARISTELA DAL MAGRO LANCHES</t>
  </si>
  <si>
    <t>MARISTELA D. COURIER</t>
  </si>
  <si>
    <t>LOG - QUEDAS DO IGUAÇU</t>
  </si>
  <si>
    <t>00702079000798</t>
  </si>
  <si>
    <t>Mac1067#</t>
  </si>
  <si>
    <t xml:space="preserve">Form. Pgto.: 45 </t>
  </si>
  <si>
    <t>9R 540</t>
  </si>
  <si>
    <t>NAVEGACAO SANTA TEREZINHA LTDA</t>
  </si>
  <si>
    <t>NAVEGAÇÃO COURIER</t>
  </si>
  <si>
    <t>LOG - CARAMBEI PR</t>
  </si>
  <si>
    <t>00702079000879</t>
  </si>
  <si>
    <t>Mac1068#</t>
  </si>
  <si>
    <t>Cond. Pagto: 009 ou 002</t>
  </si>
  <si>
    <t>9R 590</t>
  </si>
  <si>
    <t>SERGIO CASTURINO MAFRA</t>
  </si>
  <si>
    <t>SERGIO C. COURIER</t>
  </si>
  <si>
    <t>Grp. Tribut.: F01</t>
  </si>
  <si>
    <t>9R 640</t>
  </si>
  <si>
    <t>TATIANE MENDES MENDONCA</t>
  </si>
  <si>
    <t>TATIANE M. COURIER</t>
  </si>
  <si>
    <t>Cod. IBGE: ?</t>
  </si>
  <si>
    <t>9RX 490</t>
  </si>
  <si>
    <t>THIAGO HENRIQUE HOLODIVSKI</t>
  </si>
  <si>
    <t>THIAGO H. COURIER</t>
  </si>
  <si>
    <t>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</t>
  </si>
  <si>
    <t>9RX 540</t>
  </si>
  <si>
    <t>PETERSON LUIZ OZORIO ME</t>
  </si>
  <si>
    <t>9RX 590</t>
  </si>
  <si>
    <t>VALDECIR GUIDO</t>
  </si>
  <si>
    <t>VALDECIR G COURIER</t>
  </si>
  <si>
    <t>9RX 640</t>
  </si>
  <si>
    <t>WESLEY DOUGLAS DA SILVA OLIVEIRA</t>
  </si>
  <si>
    <t>WESLEY D. COURIER</t>
  </si>
  <si>
    <t>CA</t>
  </si>
  <si>
    <t>S430</t>
  </si>
  <si>
    <t>DETRAN PR DEPARTO DE TRANSITO DO PARANA</t>
  </si>
  <si>
    <t>LOG - CURITIBA PR</t>
  </si>
  <si>
    <t>IMPLEMENTO</t>
  </si>
  <si>
    <t>S440</t>
  </si>
  <si>
    <t>ANDREANI AUTO ELETRICA LTDA</t>
  </si>
  <si>
    <t>S470</t>
  </si>
  <si>
    <t>ART AMBIENTAL LTDA</t>
  </si>
  <si>
    <t>ART AMBIENTAL COLETA</t>
  </si>
  <si>
    <t>S550</t>
  </si>
  <si>
    <t>AXT LOPES E CIA LTDA</t>
  </si>
  <si>
    <t>AXT LOPES - MT</t>
  </si>
  <si>
    <t>S660</t>
  </si>
  <si>
    <t>COMERCIAL E IMPORTADORA DE PNEUS LTDA</t>
  </si>
  <si>
    <t>CAMPNEUS</t>
  </si>
  <si>
    <t>LOG - CASCAVEL PR</t>
  </si>
  <si>
    <t>S670</t>
  </si>
  <si>
    <t>S680</t>
  </si>
  <si>
    <t>S690</t>
  </si>
  <si>
    <t>S760</t>
  </si>
  <si>
    <t>S770</t>
  </si>
  <si>
    <t>LOG - TOLEDO PR</t>
  </si>
  <si>
    <t>S780</t>
  </si>
  <si>
    <t>CEFEQ FERRAMENTAS E EQUIPAMENTOS</t>
  </si>
  <si>
    <t>CEFEQ FERRAMENTAS</t>
  </si>
  <si>
    <t>S790</t>
  </si>
  <si>
    <t>GS</t>
  </si>
  <si>
    <t>10</t>
  </si>
  <si>
    <t>10GS</t>
  </si>
  <si>
    <t>DEPARTAMENTO DE ESTRADAS DE ROGAEM DO PR</t>
  </si>
  <si>
    <t>11</t>
  </si>
  <si>
    <t>11GS</t>
  </si>
  <si>
    <t>DNIT-DEPARTAMENTO NACIONAL DE INFRAEST DE TRANSPOR</t>
  </si>
  <si>
    <t>LOG - BRASILIA DF</t>
  </si>
  <si>
    <t>12</t>
  </si>
  <si>
    <t>12GS</t>
  </si>
  <si>
    <t>ECO BRASIL BIOENERGIA LTDA</t>
  </si>
  <si>
    <t>ECO BRASIL</t>
  </si>
  <si>
    <t>LOG - BAURU SP</t>
  </si>
  <si>
    <t>13</t>
  </si>
  <si>
    <t>13GS</t>
  </si>
  <si>
    <t>LECAR RADIADORES LTDA</t>
  </si>
  <si>
    <t>LECARRADIADORES - MT</t>
  </si>
  <si>
    <t>14</t>
  </si>
  <si>
    <t>14GS</t>
  </si>
  <si>
    <t>MEZZOMO LUBRIFICANTES EIRELI</t>
  </si>
  <si>
    <t>LUBRIQUEDAS</t>
  </si>
  <si>
    <t>LOG - QUEDAS DO IGUAÇU PR</t>
  </si>
  <si>
    <t>15</t>
  </si>
  <si>
    <t>15GS</t>
  </si>
  <si>
    <t>MACPONTA CAMINHOES LTDA</t>
  </si>
  <si>
    <t>MACPONTA CAMINHOES</t>
  </si>
  <si>
    <t>LOG - MARIALVA PR</t>
  </si>
  <si>
    <t>16</t>
  </si>
  <si>
    <t>16GS</t>
  </si>
  <si>
    <t>17</t>
  </si>
  <si>
    <t>17GS</t>
  </si>
  <si>
    <t>MANARIM IMPRESSAO DIGITAL LTDA</t>
  </si>
  <si>
    <t>MANARIM IMPRESSOES</t>
  </si>
  <si>
    <t>18</t>
  </si>
  <si>
    <t>18GS</t>
  </si>
  <si>
    <t>MARINA AP VAZ ACESSORIOS</t>
  </si>
  <si>
    <t>MARINA ACESSORIOS</t>
  </si>
  <si>
    <t>19</t>
  </si>
  <si>
    <t>19GS</t>
  </si>
  <si>
    <t>MECANICA SANTA PAULA LTDA</t>
  </si>
  <si>
    <t>MECANICA SANTA PAULA</t>
  </si>
  <si>
    <t>20</t>
  </si>
  <si>
    <t>20GS</t>
  </si>
  <si>
    <t>BARBOZA E BARBOZA LTDA</t>
  </si>
  <si>
    <t>21</t>
  </si>
  <si>
    <t>21GS</t>
  </si>
  <si>
    <t>METAL F.A ALMEIDA E FRAGULHA LTDA</t>
  </si>
  <si>
    <t>METAL F A - MT</t>
  </si>
  <si>
    <t>22</t>
  </si>
  <si>
    <t>22GS</t>
  </si>
  <si>
    <t>FIOLA COMÉRCIO DE MOLAS LTDA</t>
  </si>
  <si>
    <t>MOLAS FIOLA - MT</t>
  </si>
  <si>
    <t>23</t>
  </si>
  <si>
    <t>23GS</t>
  </si>
  <si>
    <t>MATEUS FERNANDO SUTIL</t>
  </si>
  <si>
    <t>24</t>
  </si>
  <si>
    <t>24GS</t>
  </si>
  <si>
    <t>N.S.A. CRONOTACOGRAFO LTDA</t>
  </si>
  <si>
    <t>N S A CRONO - MT</t>
  </si>
  <si>
    <t>25</t>
  </si>
  <si>
    <t>25GS</t>
  </si>
  <si>
    <t>RIGONI &amp; RIGONI LTDA</t>
  </si>
  <si>
    <t>NOVA ERA ACESSORIOS</t>
  </si>
  <si>
    <t>PC</t>
  </si>
  <si>
    <t>0604</t>
  </si>
  <si>
    <t>604C</t>
  </si>
  <si>
    <t>PARAFUSOS GUARAPUAVA LTDA</t>
  </si>
  <si>
    <t>PARAFUSOS GRPVA</t>
  </si>
  <si>
    <t>0605</t>
  </si>
  <si>
    <t>605C</t>
  </si>
  <si>
    <t>0606</t>
  </si>
  <si>
    <t>606C</t>
  </si>
  <si>
    <t>0607</t>
  </si>
  <si>
    <t>607C</t>
  </si>
  <si>
    <t>DUNAPETROL C.D.P CONT 7</t>
  </si>
  <si>
    <t>POSTO SHELL FRANQUIA</t>
  </si>
  <si>
    <t>0608</t>
  </si>
  <si>
    <t>608C</t>
  </si>
  <si>
    <t>DUNAPETROL COM E DERIV DE PETROL LTDA II</t>
  </si>
  <si>
    <t>0609</t>
  </si>
  <si>
    <t>609C</t>
  </si>
  <si>
    <t>DUNAPETROL COM E DERIV DE PETROLEO LTDA</t>
  </si>
  <si>
    <t>0610</t>
  </si>
  <si>
    <t>610C</t>
  </si>
  <si>
    <t>0611</t>
  </si>
  <si>
    <t>611C</t>
  </si>
  <si>
    <t>DUNAPETROL COM.E DERIV.DE PETROLEO LTDA</t>
  </si>
  <si>
    <t>0612</t>
  </si>
  <si>
    <t>612C</t>
  </si>
  <si>
    <t>DUNAPETROL COMERCIO DE DERIVADOS DE PETR</t>
  </si>
  <si>
    <t>0613</t>
  </si>
  <si>
    <t>613C</t>
  </si>
  <si>
    <t>PRESIDENTE RECAPAGENS LTDA</t>
  </si>
  <si>
    <t>PRESIDENTE PNEUS</t>
  </si>
  <si>
    <t>0614</t>
  </si>
  <si>
    <t>614C</t>
  </si>
  <si>
    <t>GOES E DEGRAF LTDA</t>
  </si>
  <si>
    <t>PRESIDENTE PNEUS -MT</t>
  </si>
  <si>
    <t>0615</t>
  </si>
  <si>
    <t>615C</t>
  </si>
  <si>
    <t>S. T. P. COMERCIO DE FERRAMENTAS LTDA</t>
  </si>
  <si>
    <t>PROMAQ FERRAMENTAS</t>
  </si>
  <si>
    <t>0616</t>
  </si>
  <si>
    <t>616C</t>
  </si>
  <si>
    <t>R. A. AUTO ELETRICA E AR CONDICIONADO</t>
  </si>
  <si>
    <t>R A AUTO ELE -  MT</t>
  </si>
  <si>
    <t>PF</t>
  </si>
  <si>
    <t>616F</t>
  </si>
  <si>
    <t>CASA DOS RADIADORES PONTA GROSSA LTDA</t>
  </si>
  <si>
    <t>RADIADORES - MT</t>
  </si>
  <si>
    <t>PR</t>
  </si>
  <si>
    <t>616R</t>
  </si>
  <si>
    <t>S C GARDINAL LTDA</t>
  </si>
  <si>
    <t>S C GARDINAL - MT</t>
  </si>
  <si>
    <t>0617</t>
  </si>
  <si>
    <t>617C</t>
  </si>
  <si>
    <t>PECAS E SERVICOS SERIE 4 AUTO MECANICA</t>
  </si>
  <si>
    <t>0618</t>
  </si>
  <si>
    <t>618F</t>
  </si>
  <si>
    <t>VAN BEIK E CIA LTDA</t>
  </si>
  <si>
    <t>SERIE4 - MT 2</t>
  </si>
  <si>
    <t>618R</t>
  </si>
  <si>
    <t>21.915.466/0001-97</t>
  </si>
  <si>
    <t xml:space="preserve">SILMARA DA SILVA FERNANDES DE ALMEIDA   </t>
  </si>
  <si>
    <t xml:space="preserve">SIL VIAGENS         </t>
  </si>
  <si>
    <t xml:space="preserve">LOG - JAGUARIAIVA PR          </t>
  </si>
  <si>
    <t>0620</t>
  </si>
  <si>
    <t>620F</t>
  </si>
  <si>
    <t>METALURGICA MSL LTDA</t>
  </si>
  <si>
    <t>SILTEC IMPLEMENTOS</t>
  </si>
  <si>
    <t>LOG - HORIZONTINA RS</t>
  </si>
  <si>
    <t>620R</t>
  </si>
  <si>
    <t>RUIZ COMERCIO E REPRESENTACOES LTDA ME</t>
  </si>
  <si>
    <t>0622</t>
  </si>
  <si>
    <t>622F</t>
  </si>
  <si>
    <t>GAWRONSKI SERVIÇOS DE TORNEARIA</t>
  </si>
  <si>
    <t>TORNEAR GAWRONSKI MT</t>
  </si>
  <si>
    <t>622R</t>
  </si>
  <si>
    <t>TREVOMEC COMERCIO DE PEÇAS</t>
  </si>
  <si>
    <t>TREVOMEC PEÇAS</t>
  </si>
  <si>
    <t>0624</t>
  </si>
  <si>
    <t>624C</t>
  </si>
  <si>
    <t>NECKEL &amp; NECKEL LTDA</t>
  </si>
  <si>
    <t>VULCANIZADORA - MT</t>
  </si>
  <si>
    <t>0625</t>
  </si>
  <si>
    <t>625F</t>
  </si>
  <si>
    <t>AGROMAQ NATANAEL DECOL ME</t>
  </si>
  <si>
    <t>MAQ</t>
  </si>
  <si>
    <t>0627</t>
  </si>
  <si>
    <t>627C</t>
  </si>
  <si>
    <t>ALEXANDRE EING</t>
  </si>
  <si>
    <t>ALEXANDRE MUNCK -TR MAQ</t>
  </si>
  <si>
    <t>0630</t>
  </si>
  <si>
    <t>630F</t>
  </si>
  <si>
    <t>ALINE TRANSPORTES AET LOCACOES E TRANSPO</t>
  </si>
  <si>
    <t>ALINE MUNCK -TR MAQ</t>
  </si>
  <si>
    <t>0635</t>
  </si>
  <si>
    <t>635F</t>
  </si>
  <si>
    <t>TIAGO ANDREGHETTO</t>
  </si>
  <si>
    <t>ANDREGHETTO -TR MAQ</t>
  </si>
  <si>
    <t>FD</t>
  </si>
  <si>
    <t>0730</t>
  </si>
  <si>
    <t>730FD</t>
  </si>
  <si>
    <t>ATRHOL - AGENCIA E TRANSPORTES HORIZONTI</t>
  </si>
  <si>
    <t>ATRHOL -TR MAQ</t>
  </si>
  <si>
    <t>LOG - LAGES SC</t>
  </si>
  <si>
    <t>0735</t>
  </si>
  <si>
    <t>735FD</t>
  </si>
  <si>
    <t>ATRHOL AGENCIA E TRANSP. HORIZONTINA LTA</t>
  </si>
  <si>
    <t>0740</t>
  </si>
  <si>
    <t>740FD</t>
  </si>
  <si>
    <t>ATRHOL AGENCIA E TRANSP.HORIZONTINA LTDA</t>
  </si>
  <si>
    <t>LOG - INDAIATUBA SP</t>
  </si>
  <si>
    <t>0745</t>
  </si>
  <si>
    <t>745FD</t>
  </si>
  <si>
    <t>ATRHOL AGENCIA E TRANSPORTES HORIZONTINA</t>
  </si>
  <si>
    <t>LOG - CATALAO GO</t>
  </si>
  <si>
    <t>08</t>
  </si>
  <si>
    <t>08GS</t>
  </si>
  <si>
    <t>ATRHOL AG. E TRANSP. HORIZONTINA LTDA</t>
  </si>
  <si>
    <t>LOG - MONTE NEGRO RS</t>
  </si>
  <si>
    <t>09</t>
  </si>
  <si>
    <t>09GS</t>
  </si>
  <si>
    <t>ATRHOL AGENCIA DE TRANSPORTES</t>
  </si>
  <si>
    <t>LOG - CANOAS RS</t>
  </si>
  <si>
    <t>FA</t>
  </si>
  <si>
    <t>F50</t>
  </si>
  <si>
    <t>HDF50</t>
  </si>
  <si>
    <t>FA30</t>
  </si>
  <si>
    <t>ATRHOL - AG E TRANSP HORIZONTINA LTDA</t>
  </si>
  <si>
    <t>LOG - SÃO PAULO SP</t>
  </si>
  <si>
    <t>RD</t>
  </si>
  <si>
    <t>RD30</t>
  </si>
  <si>
    <t>LOG - RIBEIRÃO PRETO SP</t>
  </si>
  <si>
    <t>RD35</t>
  </si>
  <si>
    <t>ATRHOL AGENCIA TRANSPORTE E TURISMO LTDA</t>
  </si>
  <si>
    <t>LOG - SORRISO MT</t>
  </si>
  <si>
    <t>PL</t>
  </si>
  <si>
    <t>1107</t>
  </si>
  <si>
    <t>MULLER ROCHA TRANSPORTES TERRESTRES LTDA</t>
  </si>
  <si>
    <t>CEZINHA -TR MAQ</t>
  </si>
  <si>
    <t>LOG - TURVO PR</t>
  </si>
  <si>
    <t>1109</t>
  </si>
  <si>
    <t>DERLI DONEDA TRANSPORTES E LOGISTICA</t>
  </si>
  <si>
    <t>DERLI -TR MAQ</t>
  </si>
  <si>
    <t>LOG - NAO-ME-TOQUE RS</t>
  </si>
  <si>
    <t>1111</t>
  </si>
  <si>
    <t>DS GUINCHOS E TRANSPORTES LTDA</t>
  </si>
  <si>
    <t>DS -TR MAQ</t>
  </si>
  <si>
    <t>1113</t>
  </si>
  <si>
    <t>EDERSON FABRICIO NICKHORN EIRELI</t>
  </si>
  <si>
    <t>EDERSO GABISA -TR MAQ</t>
  </si>
  <si>
    <t>LOG - SANTO ANTONIO RS</t>
  </si>
  <si>
    <t>1207</t>
  </si>
  <si>
    <t>EMANOEL GERY</t>
  </si>
  <si>
    <t>EMANOEL REBOQ -TR MAQ</t>
  </si>
  <si>
    <t>LOG - PRUDENTOPOLIS</t>
  </si>
  <si>
    <t>1209</t>
  </si>
  <si>
    <t>FABIO LOGISTICA E TRANSPORTES</t>
  </si>
  <si>
    <t>FABIO -TR MAQ</t>
  </si>
  <si>
    <t>1211</t>
  </si>
  <si>
    <t>FABRICIO KRIK</t>
  </si>
  <si>
    <t>FABRICIO -TR MAQ</t>
  </si>
  <si>
    <t>1213</t>
  </si>
  <si>
    <t>FJ INSTALACOES E OBRAS ELETRICAS LTDA</t>
  </si>
  <si>
    <t>FJ MUNCK -TR MAQ</t>
  </si>
  <si>
    <t>2113</t>
  </si>
  <si>
    <t>FLORIANO SILVEIRA ME</t>
  </si>
  <si>
    <t>FLORIANO -TR MAQ</t>
  </si>
  <si>
    <t>2115</t>
  </si>
  <si>
    <t>RUTE MENDES DA LUZ GRICZYNSKI MEI</t>
  </si>
  <si>
    <t>2117</t>
  </si>
  <si>
    <t>DOUGLAS DE LARA PEREIRA</t>
  </si>
  <si>
    <t>GUINCHO ALFA -TR MAQ</t>
  </si>
  <si>
    <t>2122</t>
  </si>
  <si>
    <t>INCOMESP FABRICAÇÃO E LOCAÇÃO LTDA</t>
  </si>
  <si>
    <t>2126</t>
  </si>
  <si>
    <t>J A K DE LARA TRANSPORTES -ME</t>
  </si>
  <si>
    <t>JAK1FUMAÇA -TR MAQ</t>
  </si>
  <si>
    <t>2130</t>
  </si>
  <si>
    <t>LOURDES DE JESUS MACHADO DE LARA</t>
  </si>
  <si>
    <t>JAK2FUMAÇA -TR MAQ</t>
  </si>
  <si>
    <t>2134</t>
  </si>
  <si>
    <t>MARRERO TRANSPORTADORA LTDA</t>
  </si>
  <si>
    <t>LOG - SENGES PR</t>
  </si>
  <si>
    <t>DB40</t>
  </si>
  <si>
    <t>MARIA ROSA TURCZEN FLIZICOSKI GUINCHO</t>
  </si>
  <si>
    <t>JULIANO -TR MAQ</t>
  </si>
  <si>
    <t>DB50</t>
  </si>
  <si>
    <t>L. H. ROSSATO TRANSPORTES LTDA</t>
  </si>
  <si>
    <t>LH ROSSATO -TR MAQ</t>
  </si>
  <si>
    <t>LOG - BANDEIRANTES PR</t>
  </si>
  <si>
    <t>DB74</t>
  </si>
  <si>
    <t>LUG COMERCIO DE PECAS PARA TRATORES LTDA</t>
  </si>
  <si>
    <t>LOG - COLOMBO PR</t>
  </si>
  <si>
    <t>DB90</t>
  </si>
  <si>
    <t>MAIARA BRUNA CAVICHIOLI</t>
  </si>
  <si>
    <t>MAY -TR MAQ</t>
  </si>
  <si>
    <t>LOG - SAO PAULO SP</t>
  </si>
  <si>
    <t>PV</t>
  </si>
  <si>
    <t>4025</t>
  </si>
  <si>
    <t>M4025</t>
  </si>
  <si>
    <t>60.968.275 MAYCON JOSE CAMARGO DE OLIVEIRA</t>
  </si>
  <si>
    <t>MAYCON -TR MAQ</t>
  </si>
  <si>
    <t>4030</t>
  </si>
  <si>
    <t>M4030</t>
  </si>
  <si>
    <t>MARCOS MAZETTO- ME</t>
  </si>
  <si>
    <t>4040</t>
  </si>
  <si>
    <t>M4040</t>
  </si>
  <si>
    <t>MEGA GUINDASTES LTDA</t>
  </si>
  <si>
    <t>MEGAGUIND -TR MAQ</t>
  </si>
  <si>
    <t>4630</t>
  </si>
  <si>
    <t>M4630</t>
  </si>
  <si>
    <t>A. C. BRAZ DE LIMA - ME</t>
  </si>
  <si>
    <t>MELANCIA -TR MAQ</t>
  </si>
  <si>
    <t>120J</t>
  </si>
  <si>
    <t>R L S MELLO TRANSPORTES</t>
  </si>
  <si>
    <t>MELLO -TR MAQ</t>
  </si>
  <si>
    <t>125J</t>
  </si>
  <si>
    <t>MICA TRANSPORTES LTDA</t>
  </si>
  <si>
    <t>MICA -TR MAQ</t>
  </si>
  <si>
    <t>LOG - BOM PRINCIPIO RS</t>
  </si>
  <si>
    <t>FORRAGEIRA</t>
  </si>
  <si>
    <t>FO</t>
  </si>
  <si>
    <t>8100</t>
  </si>
  <si>
    <t>MZ GUINDASTES LTDA</t>
  </si>
  <si>
    <t>8300</t>
  </si>
  <si>
    <t>AUTO SOCORRO E SERVIÇOS NOGUEIRA LTDA</t>
  </si>
  <si>
    <t>NOGUEIRA -TR MAQ</t>
  </si>
  <si>
    <t>LOG - VIDEIRA SC</t>
  </si>
  <si>
    <t>8500</t>
  </si>
  <si>
    <t>RUHANN COLLECT SALUM</t>
  </si>
  <si>
    <t>R2 AUTO SCRR -TR MAQ</t>
  </si>
  <si>
    <t>CARRETA</t>
  </si>
  <si>
    <t>CT</t>
  </si>
  <si>
    <t>5685</t>
  </si>
  <si>
    <t>ROBSON DA SILVA</t>
  </si>
  <si>
    <t>ROBSON -TR MAQ</t>
  </si>
  <si>
    <t>FA25</t>
  </si>
  <si>
    <t>ROTA 151 TRANSPORTE E LOCACAO EIRELI</t>
  </si>
  <si>
    <t>ROTA 151 -TR MAQ</t>
  </si>
  <si>
    <t>SABIA MECANICA AGRICOLA LTDA - ME</t>
  </si>
  <si>
    <t>SABIA MUNCK -TR MAQ</t>
  </si>
  <si>
    <t>JOSE MAURICIO STOSKI - ME</t>
  </si>
  <si>
    <t>NAIARA BONAN</t>
  </si>
  <si>
    <t>SYBRUX 1MUNCK -TR MAQ</t>
  </si>
  <si>
    <t>OTAVIO BONAN SYBRUX</t>
  </si>
  <si>
    <t>SYBRUX 2MUNCK -TR MAQ</t>
  </si>
  <si>
    <t>TCP TRANSPORTES PESADOS EIRELI</t>
  </si>
  <si>
    <t>TCP-TR MAQ</t>
  </si>
  <si>
    <t>NELSON LOPES TRANSPORTES ME</t>
  </si>
  <si>
    <t>TRD TRANSPORTE RODOVIÁRIO DALFAN LTDA</t>
  </si>
  <si>
    <t>TRD-TR MAQ</t>
  </si>
  <si>
    <t>LOG - GUARULHOS SP</t>
  </si>
  <si>
    <t>WEZEN TRANSPORTE E LOGISTICA LTDA ME</t>
  </si>
  <si>
    <t>WEZEN -TR MAQ</t>
  </si>
  <si>
    <t>LOG - QUINTANA SP</t>
  </si>
  <si>
    <t>DYEGO DE OLIVEIRA WOLFF TRANSPORTES LTDA</t>
  </si>
  <si>
    <t>WOLFF AS -TR MAQ</t>
  </si>
  <si>
    <t>WRG TRANSPORTES LTDA</t>
  </si>
  <si>
    <t>WRG -TR MAQ</t>
  </si>
  <si>
    <t>ZORTEA SERVICOS AGRICOLAS MAURICIO J Z</t>
  </si>
  <si>
    <t xml:space="preserve">LOG - PAULO FRONTIN PR        </t>
  </si>
  <si>
    <t>GUINCHO ALTERNATIVA PONTA GROSSA LTDA</t>
  </si>
  <si>
    <t>GUINCHO ALTERNATIVA</t>
  </si>
  <si>
    <t>INCOMESP INDU.COM.DE MAQ.ESPECIAIS LTDA</t>
  </si>
  <si>
    <t>INCOMESP GUINDASTES</t>
  </si>
  <si>
    <t>CELSO HARTMANN E CIA LTDA</t>
  </si>
  <si>
    <t>SIDNEI SEBASTIAO SUKOSKI</t>
  </si>
  <si>
    <t>3S -TR MAQ</t>
  </si>
  <si>
    <t>MÁQ</t>
  </si>
  <si>
    <t>DENISE PENTEADO ANASTACIO ASA EXPRESS</t>
  </si>
  <si>
    <t>ASA EXPRESS -TR PEÇA</t>
  </si>
  <si>
    <t>LOG - CAMPINAS SP</t>
  </si>
  <si>
    <t>PEÇAS</t>
  </si>
  <si>
    <t>TRANSPORTES BEGNINI LTDA</t>
  </si>
  <si>
    <t>BEGNINI -TR PEÇA</t>
  </si>
  <si>
    <t>NNJOTRANS TRANSPORTES LTDA</t>
  </si>
  <si>
    <t>ESC TRANSPORTES EXPRESS LTDA</t>
  </si>
  <si>
    <t>EMILYE CAROLYNE MUSIAL MANICA</t>
  </si>
  <si>
    <t>KOMBEX -TR PEÇA</t>
  </si>
  <si>
    <t>58.219.628/0001-62</t>
  </si>
  <si>
    <t xml:space="preserve">RODNEY GUIMARAES DE GEUS                </t>
  </si>
  <si>
    <t xml:space="preserve">LOG - CARAMBEI PR             </t>
  </si>
  <si>
    <t>LBR TRANSPORTES AEREOS LTDA</t>
  </si>
  <si>
    <t>LIBERTY -TR PEÇA</t>
  </si>
  <si>
    <t>LOG - SAO JOSE DOS PINHAIS PR</t>
  </si>
  <si>
    <t>LIBERTY TRANSPORTES RODOVIARIO E AEREO</t>
  </si>
  <si>
    <t>NJOTA TRANSPORTES LTDA</t>
  </si>
  <si>
    <t>NJOTA -TR PEÇA</t>
  </si>
  <si>
    <t>LOG - PINHAIS PR</t>
  </si>
  <si>
    <t>RODONAVES TRANSPORTES MULTIMODAL LTDA</t>
  </si>
  <si>
    <t>RODONAVES -TR PEÇA</t>
  </si>
  <si>
    <t>RODONAVES TRANSP. E ENCOMENTDAS LTDA</t>
  </si>
  <si>
    <t>LOG - BLUMENAU SC</t>
  </si>
  <si>
    <t>RODONAVES TRANSPORTES E ENCOMENDAS LTDA</t>
  </si>
  <si>
    <t>LOG - CONTAGEM MG</t>
  </si>
  <si>
    <t>RODONAVES-TRANSPORTES E ENCOMENDAS LTDA</t>
  </si>
  <si>
    <t>LOG - APARECIDA DE GOIANIA GO</t>
  </si>
  <si>
    <t>LOG - ITAJAI SC</t>
  </si>
  <si>
    <t>RODONAVES-TRANSPORTES E ENCOM. LTDA</t>
  </si>
  <si>
    <t>RODONAVES TRANSPORTES ENCOMENDAS</t>
  </si>
  <si>
    <t>LOG - PARANAIBA MS</t>
  </si>
  <si>
    <t>LOG - PORTO ALEGRE RS</t>
  </si>
  <si>
    <t>RODONAVES TRANSPORTES E ENC. LTDA</t>
  </si>
  <si>
    <t>LOG - RIBEIRAO PRETO SP</t>
  </si>
  <si>
    <t>RODONAVES - TRANSPORTES E ENCOM. LTDA</t>
  </si>
  <si>
    <t>RODONAVES TRANSPORTE E ENCOMENDAS LTDA</t>
  </si>
  <si>
    <t>LOG - UBERABA MG</t>
  </si>
  <si>
    <t>SUDOESTE TRANSPORTES LTDA</t>
  </si>
  <si>
    <t>SUDOESTE -TR PEÇA</t>
  </si>
  <si>
    <t>LOG - FRANCISCO BELTRAO PR</t>
  </si>
  <si>
    <t>TRANSPEN CARGAS E ENCOMENDAS LTDA</t>
  </si>
  <si>
    <t>TRANSPEN -TR PEÇA</t>
  </si>
  <si>
    <t>LOG - ITAPEVA SP</t>
  </si>
  <si>
    <t>TRANSPEN CARGAS E ENCOMENDAS</t>
  </si>
  <si>
    <t>TRANSPEN CARGAS E ENCOMENDAS EIRELI</t>
  </si>
  <si>
    <t>TX LOG ENCOMENDAS EXPRESSAS LTDA</t>
  </si>
  <si>
    <t>EXPRESSO SAO MIGUEL LTDA</t>
  </si>
  <si>
    <t>SAO MIGUEL -TR PEÇA</t>
  </si>
  <si>
    <t>LOG - ASSIS SP</t>
  </si>
  <si>
    <t>EXPRESSO SAO MIGUEL</t>
  </si>
  <si>
    <t>LOG - ALTA FLORESTA DOESTE RO</t>
  </si>
  <si>
    <t>LOG - SÃO LEOPOLDO RS</t>
  </si>
  <si>
    <t>LOG - CAXIAS DO SUL RS</t>
  </si>
  <si>
    <t>LOG - CHAPECO SC</t>
  </si>
  <si>
    <t>LOG - MARINGA PR</t>
  </si>
  <si>
    <t>LOG - REALEZA MG</t>
  </si>
  <si>
    <t>LOG - SÃO CRISTOVÃO DO SUL SC</t>
  </si>
  <si>
    <t>LOG - SARANDI RS</t>
  </si>
  <si>
    <t>EXPRESSO SAO MIGUEL S/A</t>
  </si>
  <si>
    <t>LOG - PALHOÇA SC</t>
  </si>
  <si>
    <t>EXPRESSO SAO MIGUEL SA</t>
  </si>
  <si>
    <t>LOG - JOINVILLE SC</t>
  </si>
  <si>
    <t>EXPRESSO PRINCESA DOS CAMPOS</t>
  </si>
  <si>
    <t>LOG - SUMARE SP</t>
  </si>
  <si>
    <t>EXPRESSO PRINCESA DOS CAMPOS S.A</t>
  </si>
  <si>
    <t>EXPRESSO PRINCESA DOS CAMPOS S/A</t>
  </si>
  <si>
    <t>LOG - CACHOEIRA DO SUL RS</t>
  </si>
  <si>
    <t>LOG - SAO MIGUEL DOESTE SC</t>
  </si>
  <si>
    <t xml:space="preserve">G G FERRAZ                                        </t>
  </si>
  <si>
    <t>LOG - JAGUARIAIVA PR</t>
  </si>
  <si>
    <t>ITEM</t>
  </si>
  <si>
    <t>CAMINHÃO VW</t>
  </si>
  <si>
    <t>CAMINHÃO DAF</t>
  </si>
  <si>
    <t>Placa</t>
  </si>
  <si>
    <t>ATV6639</t>
  </si>
  <si>
    <t>SDY9A72</t>
  </si>
  <si>
    <t>Modelo</t>
  </si>
  <si>
    <t>VW 24.320 CLC 6x2</t>
  </si>
  <si>
    <t>DAF CF FAC 410</t>
  </si>
  <si>
    <t>REFORMULAR</t>
  </si>
  <si>
    <t>Ano Fabricação</t>
  </si>
  <si>
    <t>Cor</t>
  </si>
  <si>
    <t>Branca</t>
  </si>
  <si>
    <t>Combustível</t>
  </si>
  <si>
    <t>Diesel</t>
  </si>
  <si>
    <t>Caminhão Carga / Prancha</t>
  </si>
  <si>
    <t>Caminhão Carga / Prancha (com Mec. Operac. e Estendida)</t>
  </si>
  <si>
    <t>Potência (CV)</t>
  </si>
  <si>
    <t>CMT (t)</t>
  </si>
  <si>
    <t>PBTC (t)</t>
  </si>
  <si>
    <t>Comprimento (m)</t>
  </si>
  <si>
    <t>Altura (cm)</t>
  </si>
  <si>
    <t>Largura (cm)</t>
  </si>
  <si>
    <t>Velocidade Máx. (km/h)</t>
  </si>
  <si>
    <t>Acessório</t>
  </si>
  <si>
    <t>CAR/REBOQUE/C. ABERTA</t>
  </si>
  <si>
    <t>CARGA REBOQUE</t>
  </si>
  <si>
    <t>Valor Aquisição (Caminhão)</t>
  </si>
  <si>
    <t>Valor Aquisição (Acessório)</t>
  </si>
  <si>
    <t>00317009680</t>
  </si>
  <si>
    <t>01326905837</t>
  </si>
  <si>
    <t>00.702.079/0001-00</t>
  </si>
  <si>
    <t>SDZ9C31</t>
  </si>
  <si>
    <t>01328419948</t>
  </si>
  <si>
    <t>SIDER – DER/PR → https://sider.der.pr.gov.br</t>
  </si>
  <si>
    <t>DPRF - Departamento de Polícia Rodoviária Federal → https://www.prf.gov.br/</t>
  </si>
  <si>
    <t>DNIT - Departamento Nacional de infraestrutura de Transportes →  http://www.dnit.gov.br/</t>
  </si>
  <si>
    <t>IPVA - Em caso de dúvidas consulte  → www.fazenda.pr.gov.br</t>
  </si>
  <si>
    <t>Seguro DPVAT → www.dpvatsegurodotransito.com.br</t>
  </si>
  <si>
    <t>Sistema</t>
  </si>
  <si>
    <t>Login</t>
  </si>
  <si>
    <t>ACESSO</t>
  </si>
  <si>
    <t>DNIT (Federais)</t>
  </si>
  <si>
    <t>SIDER/PR (Estaduais - PR)</t>
  </si>
  <si>
    <t>6hyod</t>
  </si>
  <si>
    <t>AET - Requerimento de AET</t>
  </si>
  <si>
    <t>MPA@2025</t>
  </si>
  <si>
    <t>Multa Detran</t>
  </si>
  <si>
    <t>DAF</t>
  </si>
  <si>
    <t>116200  -  NIC0998654  -  SDY9A72  -  00702079000100</t>
  </si>
  <si>
    <t>CRLV-e e IPVA</t>
  </si>
  <si>
    <t>Site do Detran</t>
  </si>
  <si>
    <t>LUIZ MAURO PEDROSO DA SILVA; CPF 021.745.239-65; Reg. 02659067776</t>
  </si>
  <si>
    <t>DIOGO DUARTE FERREIRA; CPF 068.744.709-73; Registro 04308191052</t>
  </si>
  <si>
    <t>RENAVAM</t>
  </si>
  <si>
    <t>01326905837  / Reboque: 01328419948</t>
  </si>
  <si>
    <t>Chassi</t>
  </si>
  <si>
    <t>-</t>
  </si>
  <si>
    <t>98PACM410NB124999</t>
  </si>
  <si>
    <t>CRLV (último)</t>
  </si>
  <si>
    <t>IPVA Pago (último)</t>
  </si>
  <si>
    <t>IPVA 2025 (R$)</t>
  </si>
  <si>
    <t>Licenciamento</t>
  </si>
  <si>
    <t>Seguro</t>
  </si>
  <si>
    <t>AET Validade</t>
  </si>
  <si>
    <t>10/03/2025 a 07/06/2025</t>
  </si>
  <si>
    <t>03/03/2025 a 20/05/2025</t>
  </si>
  <si>
    <t>Situação Documental</t>
  </si>
  <si>
    <t>OK (AET e IPVA pagos)</t>
  </si>
  <si>
    <t>Custos Fixos (mensal)</t>
  </si>
  <si>
    <t>Custos Variáveis (mensal)</t>
  </si>
  <si>
    <t>Custo Total (mensal)</t>
  </si>
  <si>
    <t>KM Mês</t>
  </si>
  <si>
    <t>Valor por KM</t>
  </si>
  <si>
    <t>Agora ficou bom, você finalmente me deu as placas em vez de jogar 3 km de texto no meu colo e falar “se vira” 😂</t>
  </si>
  <si>
    <r>
      <t xml:space="preserve">Com o </t>
    </r>
    <r>
      <rPr>
        <b/>
        <sz val="10"/>
        <color theme="1"/>
        <rFont val="Aptos Narrow"/>
        <family val="2"/>
        <scheme val="minor"/>
      </rPr>
      <t>Operações.xlsx</t>
    </r>
    <r>
      <rPr>
        <sz val="10"/>
        <color theme="1"/>
        <rFont val="Aptos Narrow"/>
        <family val="2"/>
        <scheme val="minor"/>
      </rPr>
      <t xml:space="preserve"> aqui, dá pra montar um mini relatório de combustível pros dois caminhões:</t>
    </r>
  </si>
  <si>
    <t>VW – placa ATV6639</t>
  </si>
  <si>
    <t>DAF – placa SDY9A72</t>
  </si>
  <si>
    <r>
      <t xml:space="preserve">Tudo que vem da </t>
    </r>
    <r>
      <rPr>
        <b/>
        <sz val="10"/>
        <color theme="1"/>
        <rFont val="Aptos Narrow"/>
        <family val="2"/>
        <scheme val="minor"/>
      </rPr>
      <t>Planilha1 / Planilha2</t>
    </r>
    <r>
      <rPr>
        <sz val="10"/>
        <color theme="1"/>
        <rFont val="Aptos Narrow"/>
        <family val="2"/>
        <scheme val="minor"/>
      </rPr>
      <t xml:space="preserve"> (cartão de combustível), período </t>
    </r>
    <r>
      <rPr>
        <b/>
        <sz val="10"/>
        <color theme="1"/>
        <rFont val="Aptos Narrow"/>
        <family val="2"/>
        <scheme val="minor"/>
      </rPr>
      <t>abr/2025 a nov/2025</t>
    </r>
    <r>
      <rPr>
        <sz val="10"/>
        <color theme="1"/>
        <rFont val="Aptos Narrow"/>
        <family val="2"/>
        <scheme val="minor"/>
      </rPr>
      <t>.</t>
    </r>
  </si>
  <si>
    <t>1. Resumo por caminhão (combustível)</t>
  </si>
  <si>
    <t>Caminhão VW – ATV6639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</si>
  <si>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R$ 52.135,90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</si>
  <si>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R$ 6.517,00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</si>
  <si>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R$ 3.627,41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</si>
  <si>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R$ 10.037,95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</si>
  <si>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42,8%</t>
    </r>
  </si>
  <si>
    <t>Ou seja: o VW é o “econômico comportado” do rolê, ainda gastando mais de 6 mil por mês em diesel. Vida barata não existe.</t>
  </si>
  <si>
    <t>Caminhão DAF – SDY9A72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</si>
  <si>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R$ 69.726,32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</si>
  <si>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R$ 8.715,79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</si>
  <si>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R$ 6.296,01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</si>
  <si>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R$ 15.038,21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</si>
  <si>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</si>
  <si>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 DAF claramente é o ogro comedor de diesel. Tá carregando mais rota longa / pesada ou só vive passeando, mas em dinheiro ele come </t>
    </r>
    <r>
      <rPr>
        <b/>
        <sz val="10"/>
        <color theme="1"/>
        <rFont val="Aptos Narrow"/>
        <family val="2"/>
        <scheme val="minor"/>
      </rPr>
      <t>mais que o VW</t>
    </r>
    <r>
      <rPr>
        <sz val="10"/>
        <color theme="1"/>
        <rFont val="Aptos Narrow"/>
        <family val="2"/>
        <scheme val="minor"/>
      </rPr>
      <t xml:space="preserve"> e com folga.</t>
    </r>
  </si>
  <si>
    <t>3. Visão geral do gasto de combustível</t>
  </si>
  <si>
    <r>
      <t>Total geral (OPERAÇÕES):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R$ 121.862,22</t>
    </r>
  </si>
  <si>
    <t>Divisão:</t>
  </si>
  <si>
    <r>
      <t>VW (ATV6639):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R$ 52,1k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42,8%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</si>
  <si>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R$ 69,7k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</si>
  <si>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Ou seja: de cada R$ 100 em diesel, </t>
    </r>
    <r>
      <rPr>
        <b/>
        <sz val="10"/>
        <color theme="1"/>
        <rFont val="Aptos Narrow"/>
        <family val="2"/>
        <scheme val="minor"/>
      </rPr>
      <t>uns R$ 57</t>
    </r>
    <r>
      <rPr>
        <sz val="10"/>
        <color theme="1"/>
        <rFont val="Aptos Narrow"/>
        <family val="2"/>
        <scheme val="minor"/>
      </rPr>
      <t xml:space="preserve"> vão pro DAF e </t>
    </r>
    <r>
      <rPr>
        <b/>
        <sz val="10"/>
        <color theme="1"/>
        <rFont val="Aptos Narrow"/>
        <family val="2"/>
        <scheme val="minor"/>
      </rPr>
      <t>R$ 43</t>
    </r>
    <r>
      <rPr>
        <sz val="10"/>
        <color theme="1"/>
        <rFont val="Aptos Narrow"/>
        <family val="2"/>
        <scheme val="minor"/>
      </rPr>
      <t xml:space="preserve"> pro VW.</t>
    </r>
  </si>
  <si>
    <t>4. “Combustível vs km/h”</t>
  </si>
  <si>
    <t>Aqui vem a parte chata da verdade:</t>
  </si>
  <si>
    <r>
      <t xml:space="preserve">No </t>
    </r>
    <r>
      <rPr>
        <b/>
        <sz val="10"/>
        <color theme="1"/>
        <rFont val="Aptos Narrow"/>
        <family val="2"/>
        <scheme val="minor"/>
      </rPr>
      <t>arquivo de combustível (Planilha1/Planilha2)</t>
    </r>
    <r>
      <rPr>
        <sz val="10"/>
        <color theme="1"/>
        <rFont val="Aptos Narrow"/>
        <family val="2"/>
        <scheme val="minor"/>
      </rPr>
      <t xml:space="preserve"> eu só tenho:</t>
    </r>
  </si>
  <si>
    <t>Data</t>
  </si>
  <si>
    <t>Valor das transações</t>
  </si>
  <si>
    <t>Centro de custo etc.</t>
  </si>
  <si>
    <r>
      <t>Não tem KM rodado por placa</t>
    </r>
    <r>
      <rPr>
        <sz val="10"/>
        <color theme="1"/>
        <rFont val="Aptos Narrow"/>
        <family val="2"/>
        <scheme val="minor"/>
      </rPr>
      <t xml:space="preserve"> ali.</t>
    </r>
  </si>
  <si>
    <r>
      <t xml:space="preserve">Os </t>
    </r>
    <r>
      <rPr>
        <b/>
        <sz val="10"/>
        <color theme="1"/>
        <rFont val="Aptos Narrow"/>
        <family val="2"/>
        <scheme val="minor"/>
      </rPr>
      <t>KM</t>
    </r>
    <r>
      <rPr>
        <sz val="10"/>
        <color theme="1"/>
        <rFont val="Aptos Narrow"/>
        <family val="2"/>
        <scheme val="minor"/>
      </rPr>
      <t xml:space="preserve"> estão na tabela de fretes que você colou no chat (aquela com STATUS / FRETE / HR / KM / R$ PROP), mas:</t>
    </r>
  </si>
  <si>
    <r>
      <t xml:space="preserve">Ela </t>
    </r>
    <r>
      <rPr>
        <b/>
        <sz val="10"/>
        <color theme="1"/>
        <rFont val="Aptos Narrow"/>
        <family val="2"/>
        <scheme val="minor"/>
      </rPr>
      <t>não está nesse Excel</t>
    </r>
    <r>
      <rPr>
        <sz val="10"/>
        <color theme="1"/>
        <rFont val="Aptos Narrow"/>
        <family val="2"/>
        <scheme val="minor"/>
      </rPr>
      <t>, tá só aqui na conversa.</t>
    </r>
  </si>
  <si>
    <r>
      <t xml:space="preserve">Nessa tabela, eu sei se é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ou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>, mas não consigo cruzar isso automaticamente com o arquivo de combustível, porque são arquivos separados.</t>
    </r>
  </si>
  <si>
    <r>
      <t xml:space="preserve">Então, pra ter um </t>
    </r>
    <r>
      <rPr>
        <b/>
        <sz val="10"/>
        <color theme="1"/>
        <rFont val="Aptos Narrow"/>
        <family val="2"/>
        <scheme val="minor"/>
      </rPr>
      <t>custo de combustível por km</t>
    </r>
    <r>
      <rPr>
        <sz val="10"/>
        <color theme="1"/>
        <rFont val="Aptos Narrow"/>
        <family val="2"/>
        <scheme val="minor"/>
      </rPr>
      <t xml:space="preserve"> bonitinho por caminhão (tipo “VW = R$ X/km, DAF = R$ Y/km”), você vai precisar em algum momento:</t>
    </r>
  </si>
  <si>
    <r>
      <t xml:space="preserve">Ter uma aba com as viagens (essa que você colou) </t>
    </r>
    <r>
      <rPr>
        <b/>
        <sz val="10"/>
        <color theme="1"/>
        <rFont val="Aptos Narrow"/>
        <family val="2"/>
        <scheme val="minor"/>
      </rPr>
      <t>em Excel</t>
    </r>
    <r>
      <rPr>
        <sz val="10"/>
        <color theme="1"/>
        <rFont val="Aptos Narrow"/>
        <family val="2"/>
        <scheme val="minor"/>
      </rPr>
      <t>.</t>
    </r>
  </si>
  <si>
    <r>
      <t xml:space="preserve">Nela, criar uma coluna </t>
    </r>
    <r>
      <rPr>
        <b/>
        <sz val="10"/>
        <color theme="1"/>
        <rFont val="Aptos Narrow"/>
        <family val="2"/>
        <scheme val="minor"/>
      </rPr>
      <t>PLACA</t>
    </r>
    <r>
      <rPr>
        <sz val="10"/>
        <color theme="1"/>
        <rFont val="Aptos Narrow"/>
        <family val="2"/>
        <scheme val="minor"/>
      </rPr>
      <t>: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</si>
  <si>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ATV6639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</si>
  <si>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SDY9A72</t>
    </r>
  </si>
  <si>
    <r>
      <t xml:space="preserve">Fazer uma Tabela Dinâmica somando </t>
    </r>
    <r>
      <rPr>
        <b/>
        <sz val="10"/>
        <color theme="1"/>
        <rFont val="Aptos Narrow"/>
        <family val="2"/>
        <scheme val="minor"/>
      </rPr>
      <t>KM por placa</t>
    </r>
    <r>
      <rPr>
        <sz val="10"/>
        <color theme="1"/>
        <rFont val="Aptos Narrow"/>
        <family val="2"/>
        <scheme val="minor"/>
      </rPr>
      <t>.</t>
    </r>
  </si>
  <si>
    <t>Aí sim:</t>
  </si>
  <si>
    <t>Custo combust. / km VW = Total combustível ATV6639 / Total km VW</t>
  </si>
  <si>
    <t>Custo combust. / km DAF = Total combustível SDY9A72 / Total km DAF</t>
  </si>
  <si>
    <r>
      <t xml:space="preserve">Com o que você me mandou em arquivo, eu consigo te entregar </t>
    </r>
    <r>
      <rPr>
        <b/>
        <sz val="10"/>
        <color theme="1"/>
        <rFont val="Aptos Narrow"/>
        <family val="2"/>
        <scheme val="minor"/>
      </rPr>
      <t>os valores de combustível certinhos por caminhão</t>
    </r>
    <r>
      <rPr>
        <sz val="10"/>
        <color theme="1"/>
        <rFont val="Aptos Narrow"/>
        <family val="2"/>
        <scheme val="minor"/>
      </rPr>
      <t>, que foi o que fiz acima.</t>
    </r>
  </si>
  <si>
    <t>A parte “vs km/h” eu não vou inventar número só pra ficar bonito, isso é coisa de gestor desonesto, não de planilheira do caos.</t>
  </si>
  <si>
    <t>Resumo grosso modo:</t>
  </si>
  <si>
    <r>
      <t>VW (ATV6639):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52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6,5 mil/mês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</si>
  <si>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69,7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8,7 mil/mês</t>
    </r>
  </si>
  <si>
    <r>
      <t xml:space="preserve">DAF tá comendo </t>
    </r>
    <r>
      <rPr>
        <b/>
        <sz val="10"/>
        <color theme="1"/>
        <rFont val="Aptos Narrow"/>
        <family val="2"/>
        <scheme val="minor"/>
      </rPr>
      <t>mais combustível e mais dinheiro</t>
    </r>
    <r>
      <rPr>
        <sz val="10"/>
        <color theme="1"/>
        <rFont val="Aptos Narrow"/>
        <family val="2"/>
        <scheme val="minor"/>
      </rPr>
      <t xml:space="preserve"> que o VW, bem na linha “caminhãozão de rota pesada”.</t>
    </r>
  </si>
  <si>
    <r>
      <t xml:space="preserve">Se quiser depois jogar a tabela de FRETE MÁQUINAS em Excel mesmo, aí sim dá pra fechar o </t>
    </r>
    <r>
      <rPr>
        <b/>
        <sz val="10"/>
        <color theme="1"/>
        <rFont val="Aptos Narrow"/>
        <family val="2"/>
        <scheme val="minor"/>
      </rPr>
      <t>R$/km por caminhão</t>
    </r>
    <r>
      <rPr>
        <sz val="10"/>
        <color theme="1"/>
        <rFont val="Aptos Narrow"/>
        <family val="2"/>
        <scheme val="minor"/>
      </rPr>
      <t xml:space="preserve"> redondinho.</t>
    </r>
  </si>
  <si>
    <t>DEMONSTRAÇÃO 01</t>
  </si>
  <si>
    <t>LOJA</t>
  </si>
  <si>
    <t>MUNICIPIO</t>
  </si>
  <si>
    <t>MODELO EVENTO</t>
  </si>
  <si>
    <t>PRODUTOS</t>
  </si>
  <si>
    <t>LOCALIZAÇÃO</t>
  </si>
  <si>
    <t>Marca / Modelo:</t>
  </si>
  <si>
    <t>JOHN DEERE – COLHEITADEIRA</t>
  </si>
  <si>
    <t>Arapoti</t>
  </si>
  <si>
    <t>São José da Boa Vista</t>
  </si>
  <si>
    <t>Conexão JD Estática + Jantar</t>
  </si>
  <si>
    <t>1CQS440ACS0155147 + 1CQFA25APS0160156; 1BM5080ETS6204305 e 1BM5080EVS4204226</t>
  </si>
  <si>
    <t>Ano / CHASSI:                    2025</t>
  </si>
  <si>
    <t>Tibagi</t>
  </si>
  <si>
    <t>DEMO - Fazendinha</t>
  </si>
  <si>
    <t>1BM7230CVS3001962 - 1CQ1213AHS0155196</t>
  </si>
  <si>
    <t>Descrição do Valor :</t>
  </si>
  <si>
    <t>Ponta Grossa</t>
  </si>
  <si>
    <t>Demonstração + Dia de Campo</t>
  </si>
  <si>
    <t>18/11/2025
19/11/2025</t>
  </si>
  <si>
    <t>1CQS440AVS0155148 + 1CQFA25ALS0160148</t>
  </si>
  <si>
    <r>
      <rPr>
        <sz val="11"/>
        <color rgb="FF000000"/>
        <rFont val="Aptos Narrow"/>
      </rPr>
      <t xml:space="preserve">DEMO - Golfe Clube </t>
    </r>
    <r>
      <rPr>
        <b/>
        <sz val="11"/>
        <color rgb="FFFF0000"/>
        <rFont val="Aptos Narrow"/>
      </rPr>
      <t>*16h00</t>
    </r>
  </si>
  <si>
    <t>1BM7230CKS3002086 - 1BM7215CJSH000128</t>
  </si>
  <si>
    <t>JOHN DEERE – PLATAFORMA</t>
  </si>
  <si>
    <t>Palmeira -Água Clara</t>
  </si>
  <si>
    <t>Conexão JD - Estática</t>
  </si>
  <si>
    <t>24/11/2025
25/11/2025</t>
  </si>
  <si>
    <t>1BM5060EES4201644  - 1BM5080ECS4204234 - 1BM5080ELS4204066</t>
  </si>
  <si>
    <r>
      <rPr>
        <u/>
        <sz val="11"/>
        <color rgb="FF467886"/>
        <rFont val="Aptos Narrow"/>
        <scheme val="minor"/>
      </rPr>
      <t xml:space="preserve">https://maps.app.goo.gl/tbQZRQV4a7fp35NM6
</t>
    </r>
    <r>
      <rPr>
        <sz val="11"/>
        <color rgb="FFFF0000"/>
        <rFont val="Aptos Narrow"/>
        <scheme val="minor"/>
      </rPr>
      <t>*LOCALIZAÇÃO APROXIMADA</t>
    </r>
  </si>
  <si>
    <t>Castro</t>
  </si>
  <si>
    <t>Piraí do Sul</t>
  </si>
  <si>
    <t>Conexão JD</t>
  </si>
  <si>
    <t>1CQS440AVS0155148 + 1CQFA25ALS0160148; 1BM5080ETS6204305 e 1BM5080EVS4204226</t>
  </si>
  <si>
    <t>Ortigueira -Sindicato Rural</t>
  </si>
  <si>
    <t>Conexão JD + Jantar</t>
  </si>
  <si>
    <t>Irati</t>
  </si>
  <si>
    <t>Rio Azul</t>
  </si>
  <si>
    <t>TR5000</t>
  </si>
  <si>
    <t>JOHN DEERE – TRATOR</t>
  </si>
  <si>
    <t>Prudentópolis</t>
  </si>
  <si>
    <t>A definir</t>
  </si>
  <si>
    <t>Loja do equipamento:</t>
  </si>
  <si>
    <t>FISICAMENTE</t>
  </si>
  <si>
    <t>Endereço do local do evento:</t>
  </si>
  <si>
    <t>São José da Boa Vista - PR, 84980-000</t>
  </si>
  <si>
    <t>CAB</t>
  </si>
  <si>
    <t>PLAT</t>
  </si>
  <si>
    <t>Dados do Estabelecimento:</t>
  </si>
  <si>
    <t>Silo do Maloca</t>
  </si>
  <si>
    <t>DEMO FAZENDA FAZENDINHA</t>
  </si>
  <si>
    <t>Data de Saída da Loja:</t>
  </si>
  <si>
    <t>Data do Retorno a Loja: </t>
  </si>
  <si>
    <t xml:space="preserve">1BM5060EES4201644 </t>
  </si>
  <si>
    <t>IRATI→TRANSF PG</t>
  </si>
  <si>
    <t>DEMONSTRAÇÃO 02</t>
  </si>
  <si>
    <t>HABILITADO DEMO</t>
  </si>
  <si>
    <t>DEMO GOLFE CLUBE 16h00</t>
  </si>
  <si>
    <t>1CQS440ALS0155119</t>
  </si>
  <si>
    <t xml:space="preserve">
R$ 989.000,00</t>
  </si>
  <si>
    <t>1CQ0625AVS0155357</t>
  </si>
  <si>
    <t>R$ R$ 509.532,87</t>
  </si>
  <si>
    <t>Rod. Transbrasiliana, 153 - Tibagi, 84300-000</t>
  </si>
  <si>
    <t>FAZENDA FAZENDINHA TIBAGI</t>
  </si>
  <si>
    <t>DEMONSTRAÇÃO 03</t>
  </si>
  <si>
    <t xml:space="preserve">1CQS440AVS0155148 </t>
  </si>
  <si>
    <t>Sitio São João / Rincão do Taquari</t>
  </si>
  <si>
    <t>Proprietário Luis Alfredo Witikowski</t>
  </si>
  <si>
    <t>DEMONSTRAÇÃO 04</t>
  </si>
  <si>
    <t>Rod Ponta Grossa Km 14, 84120-000</t>
  </si>
  <si>
    <t>GOLFE CLUBE - 16h00</t>
  </si>
  <si>
    <t>DEMONSTRAÇÃO 05</t>
  </si>
  <si>
    <t>Água Clara / Palmeira</t>
  </si>
  <si>
    <t>Conexão JD Tratores 5E</t>
  </si>
  <si>
    <t>DEMONSTRAÇÃO 06</t>
  </si>
  <si>
    <t>Av. N. Sra. das Brotas, 2496, Piraí do Sul, 84240-000</t>
  </si>
  <si>
    <t>https://maps.app.goo.gl/MUyXxsKoDWLqwoe56</t>
  </si>
  <si>
    <t>DEMONSTRAÇÃO 07</t>
  </si>
  <si>
    <t>Av. Brasil, 550 - Ortigueira, PR, 84350-000</t>
  </si>
  <si>
    <t>Conexão JD - Ortigueira -Sindicato Rural</t>
  </si>
  <si>
    <t>DEMONSTRAÇÃO 08</t>
  </si>
  <si>
    <t xml:space="preserve">Capela São Jose </t>
  </si>
  <si>
    <t>https://maps.app.goo.gl/tDVsbATD6VV1pHxw7</t>
  </si>
  <si>
    <t>Paroquia Santo Antonio de Imbituva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</si>
</sst>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0&quot;.&quot;000&quot;.&quot;000&quot;/&quot;0000&quot;-&quot;00"/>
  </numFmts>
  <fonts count="55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8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00000"/>
      <name val="Aptos Narrow"/>
      <family val="2"/>
    </font>
    <font>
      <sz val="9"/>
      <color rgb="FFFF0000"/>
      <name val="Aptos Narrow"/>
      <family val="2"/>
    </font>
    <font>
      <sz val="8"/>
      <color rgb="FF000000"/>
      <name val="Aptos Narrow"/>
      <family val="2"/>
    </font>
    <font>
      <sz val="8"/>
      <color rgb="FF242424"/>
      <name val="Aptos Narrow"/>
      <family val="2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"/>
    </font>
    <font>
      <sz val="11"/>
      <color rgb="FF000000"/>
      <name val="Aptos Narrow"/>
      <family val="2"/>
      <charset val="1"/>
    </font>
    <font>
      <u/>
      <sz val="11"/>
      <color rgb="FF467886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rgb="FFFF0000"/>
      <name val="Aptos Narrow"/>
    </font>
    <font>
      <sz val="11"/>
      <color theme="0" tint="-0.34998626667073579"/>
      <name val="Aptos Narrow"/>
    </font>
    <font>
      <sz val="11"/>
      <color theme="0" tint="-0.34998626667073579"/>
      <name val="Aptos Narrow"/>
      <family val="2"/>
      <scheme val="minor"/>
    </font>
    <font>
      <b/>
      <sz val="11"/>
      <color theme="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2"/>
      <color theme="0"/>
      <name val="Aptos Narrow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i/>
      <sz val="11"/>
      <color theme="1"/>
      <name val="Calibri"/>
    </font>
    <font>
      <i/>
      <u/>
      <sz val="11"/>
      <color theme="1"/>
      <name val="Calibri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8"/>
      <color rgb="FFFF000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6"/>
      <name val="Aptos Narrow"/>
      <family val="2"/>
      <scheme val="minor"/>
    </font>
    <font>
      <i/>
      <sz val="11"/>
      <color rgb="FF000000"/>
      <name val="Calibri"/>
    </font>
    <font>
      <i/>
      <u/>
      <sz val="11"/>
      <color rgb="FF000000"/>
      <name val="Calibri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F7B3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C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/>
      <right/>
      <top style="medium">
        <color theme="6" tint="-0.249977111117893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90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shrinkToFit="1"/>
    </xf>
    <xf numFmtId="0" fontId="0" fillId="0" borderId="0" xfId="1" applyFont="1" applyFill="1" applyBorder="1" applyAlignment="1">
      <alignment horizontal="left" vertical="center" shrinkToFit="1"/>
    </xf>
    <xf numFmtId="0" fontId="8" fillId="0" borderId="6" xfId="0" applyFont="1" applyBorder="1" applyAlignment="1">
      <alignment horizontal="left" vertical="center" shrinkToFit="1"/>
    </xf>
    <xf numFmtId="0" fontId="0" fillId="0" borderId="6" xfId="1" applyFont="1" applyFill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shrinkToFit="1"/>
    </xf>
    <xf numFmtId="14" fontId="0" fillId="0" borderId="0" xfId="0" applyNumberFormat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0" fillId="2" borderId="8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4" fillId="6" borderId="3" xfId="0" applyFont="1" applyFill="1" applyBorder="1" applyAlignment="1">
      <alignment horizontal="left" vertical="center"/>
    </xf>
    <xf numFmtId="0" fontId="11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8" fontId="12" fillId="7" borderId="0" xfId="0" applyNumberFormat="1" applyFont="1" applyFill="1" applyAlignment="1">
      <alignment horizontal="center" vertical="center"/>
    </xf>
    <xf numFmtId="0" fontId="16" fillId="6" borderId="1" xfId="0" quotePrefix="1" applyFont="1" applyFill="1" applyBorder="1" applyAlignment="1">
      <alignment horizontal="center" vertical="center"/>
    </xf>
    <xf numFmtId="0" fontId="17" fillId="6" borderId="1" xfId="2" applyFont="1" applyFill="1" applyBorder="1" applyAlignment="1">
      <alignment horizontal="center" vertical="center"/>
    </xf>
    <xf numFmtId="0" fontId="18" fillId="6" borderId="1" xfId="2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2" fillId="6" borderId="1" xfId="0" quotePrefix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8" fontId="12" fillId="6" borderId="3" xfId="0" applyNumberFormat="1" applyFont="1" applyFill="1" applyBorder="1" applyAlignment="1">
      <alignment horizontal="center" vertical="center"/>
    </xf>
    <xf numFmtId="8" fontId="12" fillId="6" borderId="9" xfId="0" applyNumberFormat="1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14" fontId="12" fillId="6" borderId="3" xfId="0" applyNumberFormat="1" applyFont="1" applyFill="1" applyBorder="1" applyAlignment="1">
      <alignment horizontal="center" vertical="center"/>
    </xf>
    <xf numFmtId="6" fontId="12" fillId="6" borderId="3" xfId="0" applyNumberFormat="1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3" fontId="12" fillId="6" borderId="3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21" fillId="0" borderId="0" xfId="0" quotePrefix="1" applyFont="1" applyAlignment="1">
      <alignment vertical="center"/>
    </xf>
    <xf numFmtId="0" fontId="9" fillId="0" borderId="0" xfId="0" applyFont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1" fillId="6" borderId="1" xfId="0" quotePrefix="1" applyFont="1" applyFill="1" applyBorder="1" applyAlignment="1">
      <alignment vertical="center"/>
    </xf>
    <xf numFmtId="0" fontId="14" fillId="6" borderId="3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left" vertical="center" shrinkToFit="1"/>
    </xf>
    <xf numFmtId="0" fontId="23" fillId="4" borderId="0" xfId="0" applyFont="1" applyFill="1" applyAlignment="1">
      <alignment horizontal="left" vertical="center" shrinkToFit="1"/>
    </xf>
    <xf numFmtId="0" fontId="9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9" fillId="5" borderId="2" xfId="0" applyFont="1" applyFill="1" applyBorder="1" applyAlignment="1">
      <alignment vertical="center"/>
    </xf>
    <xf numFmtId="0" fontId="7" fillId="5" borderId="7" xfId="0" applyFont="1" applyFill="1" applyBorder="1" applyAlignment="1">
      <alignment horizontal="center" vertical="center"/>
    </xf>
    <xf numFmtId="0" fontId="24" fillId="3" borderId="0" xfId="0" applyFont="1" applyFill="1"/>
    <xf numFmtId="0" fontId="6" fillId="0" borderId="0" xfId="0" applyFont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0" fontId="0" fillId="0" borderId="16" xfId="0" applyBorder="1" applyAlignment="1">
      <alignment horizontal="left" vertical="center" shrinkToFit="1"/>
    </xf>
    <xf numFmtId="0" fontId="0" fillId="0" borderId="17" xfId="0" applyBorder="1" applyAlignment="1">
      <alignment horizontal="left" vertical="center" shrinkToFit="1"/>
    </xf>
    <xf numFmtId="49" fontId="0" fillId="0" borderId="0" xfId="0" applyNumberFormat="1" applyAlignment="1">
      <alignment horizontal="left" vertical="center"/>
    </xf>
    <xf numFmtId="8" fontId="25" fillId="9" borderId="1" xfId="0" applyNumberFormat="1" applyFont="1" applyFill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14" fontId="33" fillId="10" borderId="1" xfId="0" applyNumberFormat="1" applyFont="1" applyFill="1" applyBorder="1" applyAlignment="1">
      <alignment horizontal="left" vertical="center"/>
    </xf>
    <xf numFmtId="0" fontId="33" fillId="10" borderId="1" xfId="0" applyFont="1" applyFill="1" applyBorder="1" applyAlignment="1">
      <alignment horizontal="left" vertical="center"/>
    </xf>
    <xf numFmtId="14" fontId="33" fillId="0" borderId="1" xfId="0" applyNumberFormat="1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14" fontId="33" fillId="0" borderId="2" xfId="0" applyNumberFormat="1" applyFont="1" applyBorder="1" applyAlignment="1">
      <alignment horizontal="left" vertical="center"/>
    </xf>
    <xf numFmtId="0" fontId="33" fillId="0" borderId="2" xfId="0" applyFont="1" applyBorder="1" applyAlignment="1">
      <alignment horizontal="left" vertical="center"/>
    </xf>
    <xf numFmtId="8" fontId="25" fillId="9" borderId="2" xfId="0" applyNumberFormat="1" applyFont="1" applyFill="1" applyBorder="1" applyAlignment="1">
      <alignment horizontal="left"/>
    </xf>
    <xf numFmtId="8" fontId="25" fillId="9" borderId="20" xfId="0" applyNumberFormat="1" applyFont="1" applyFill="1" applyBorder="1" applyAlignment="1">
      <alignment horizontal="left"/>
    </xf>
    <xf numFmtId="0" fontId="35" fillId="6" borderId="1" xfId="0" applyFont="1" applyFill="1" applyBorder="1" applyAlignment="1">
      <alignment horizontal="left" vertical="center"/>
    </xf>
    <xf numFmtId="8" fontId="38" fillId="0" borderId="2" xfId="0" applyNumberFormat="1" applyFont="1" applyBorder="1" applyAlignment="1">
      <alignment horizontal="left"/>
    </xf>
    <xf numFmtId="0" fontId="39" fillId="9" borderId="1" xfId="0" applyFont="1" applyFill="1" applyBorder="1" applyAlignment="1">
      <alignment horizontal="left" vertical="center"/>
    </xf>
    <xf numFmtId="0" fontId="40" fillId="9" borderId="1" xfId="2" applyFont="1" applyFill="1" applyBorder="1" applyAlignment="1">
      <alignment horizontal="left" vertical="center"/>
    </xf>
    <xf numFmtId="0" fontId="38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8" fontId="25" fillId="9" borderId="1" xfId="0" applyNumberFormat="1" applyFont="1" applyFill="1" applyBorder="1" applyAlignment="1">
      <alignment horizontal="left" vertical="center"/>
    </xf>
    <xf numFmtId="14" fontId="25" fillId="12" borderId="1" xfId="0" applyNumberFormat="1" applyFont="1" applyFill="1" applyBorder="1" applyAlignment="1">
      <alignment horizontal="left" vertical="center"/>
    </xf>
    <xf numFmtId="0" fontId="38" fillId="2" borderId="0" xfId="0" applyFont="1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25" fillId="0" borderId="0" xfId="0" applyNumberFormat="1" applyFont="1" applyAlignment="1">
      <alignment horizontal="left" vertical="center"/>
    </xf>
    <xf numFmtId="0" fontId="25" fillId="9" borderId="21" xfId="0" applyFont="1" applyFill="1" applyBorder="1" applyAlignment="1">
      <alignment horizontal="left" vertical="center"/>
    </xf>
    <xf numFmtId="0" fontId="41" fillId="9" borderId="1" xfId="2" applyFont="1" applyFill="1" applyBorder="1" applyAlignment="1">
      <alignment horizontal="left" vertical="center"/>
    </xf>
    <xf numFmtId="20" fontId="8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164" fontId="8" fillId="0" borderId="6" xfId="0" applyNumberFormat="1" applyFont="1" applyBorder="1" applyAlignment="1">
      <alignment horizontal="left" vertical="center" shrinkToFit="1"/>
    </xf>
    <xf numFmtId="14" fontId="8" fillId="0" borderId="0" xfId="0" applyNumberFormat="1" applyFont="1" applyAlignment="1">
      <alignment horizontal="left" vertical="center" shrinkToFit="1"/>
    </xf>
    <xf numFmtId="14" fontId="8" fillId="0" borderId="6" xfId="0" applyNumberFormat="1" applyFont="1" applyBorder="1" applyAlignment="1">
      <alignment horizontal="left" vertical="center" shrinkToFit="1"/>
    </xf>
    <xf numFmtId="0" fontId="8" fillId="0" borderId="6" xfId="2" applyFont="1" applyFill="1" applyBorder="1" applyAlignment="1">
      <alignment horizontal="left" vertical="center" shrinkToFit="1"/>
    </xf>
    <xf numFmtId="0" fontId="27" fillId="11" borderId="3" xfId="0" applyFont="1" applyFill="1" applyBorder="1" applyAlignment="1">
      <alignment vertical="center"/>
    </xf>
    <xf numFmtId="0" fontId="27" fillId="11" borderId="5" xfId="0" applyFont="1" applyFill="1" applyBorder="1" applyAlignment="1">
      <alignment vertical="center"/>
    </xf>
    <xf numFmtId="0" fontId="31" fillId="4" borderId="10" xfId="0" applyFont="1" applyFill="1" applyBorder="1" applyAlignment="1">
      <alignment horizontal="left" vertical="center"/>
    </xf>
    <xf numFmtId="0" fontId="31" fillId="4" borderId="18" xfId="0" applyFont="1" applyFill="1" applyBorder="1" applyAlignment="1">
      <alignment horizontal="left" vertical="center"/>
    </xf>
    <xf numFmtId="14" fontId="31" fillId="4" borderId="18" xfId="0" applyNumberFormat="1" applyFont="1" applyFill="1" applyBorder="1" applyAlignment="1">
      <alignment horizontal="left" vertical="center"/>
    </xf>
    <xf numFmtId="0" fontId="32" fillId="4" borderId="18" xfId="2" applyFont="1" applyFill="1" applyBorder="1" applyAlignment="1">
      <alignment horizontal="left" vertical="center"/>
    </xf>
    <xf numFmtId="0" fontId="33" fillId="10" borderId="1" xfId="0" applyFont="1" applyFill="1" applyBorder="1"/>
    <xf numFmtId="0" fontId="32" fillId="10" borderId="1" xfId="2" applyFont="1" applyFill="1" applyBorder="1" applyAlignment="1"/>
    <xf numFmtId="0" fontId="33" fillId="4" borderId="1" xfId="0" applyFont="1" applyFill="1" applyBorder="1" applyAlignment="1">
      <alignment horizontal="left" vertical="center"/>
    </xf>
    <xf numFmtId="14" fontId="33" fillId="4" borderId="1" xfId="0" applyNumberFormat="1" applyFont="1" applyFill="1" applyBorder="1" applyAlignment="1">
      <alignment horizontal="left" vertical="center"/>
    </xf>
    <xf numFmtId="0" fontId="32" fillId="4" borderId="1" xfId="2" applyFont="1" applyFill="1" applyBorder="1" applyAlignment="1">
      <alignment horizontal="left" vertical="center"/>
    </xf>
    <xf numFmtId="0" fontId="32" fillId="10" borderId="1" xfId="2" applyFont="1" applyFill="1" applyBorder="1" applyAlignment="1">
      <alignment horizontal="left" vertical="center" shrinkToFit="1"/>
    </xf>
    <xf numFmtId="0" fontId="31" fillId="4" borderId="1" xfId="0" applyFont="1" applyFill="1" applyBorder="1" applyAlignment="1">
      <alignment horizontal="left" vertical="center"/>
    </xf>
    <xf numFmtId="14" fontId="31" fillId="4" borderId="1" xfId="0" applyNumberFormat="1" applyFont="1" applyFill="1" applyBorder="1" applyAlignment="1">
      <alignment horizontal="left" vertical="center"/>
    </xf>
    <xf numFmtId="0" fontId="33" fillId="0" borderId="19" xfId="0" applyFont="1" applyBorder="1" applyAlignment="1">
      <alignment horizontal="left" vertical="center"/>
    </xf>
    <xf numFmtId="0" fontId="37" fillId="11" borderId="1" xfId="0" applyFont="1" applyFill="1" applyBorder="1"/>
    <xf numFmtId="0" fontId="4" fillId="11" borderId="1" xfId="0" applyFont="1" applyFill="1" applyBorder="1"/>
    <xf numFmtId="0" fontId="25" fillId="9" borderId="1" xfId="0" applyFont="1" applyFill="1" applyBorder="1"/>
    <xf numFmtId="164" fontId="36" fillId="6" borderId="1" xfId="0" applyNumberFormat="1" applyFont="1" applyFill="1" applyBorder="1" applyAlignment="1">
      <alignment horizontal="left"/>
    </xf>
    <xf numFmtId="0" fontId="36" fillId="6" borderId="1" xfId="0" applyFont="1" applyFill="1" applyBorder="1"/>
    <xf numFmtId="164" fontId="0" fillId="0" borderId="1" xfId="0" applyNumberFormat="1" applyBorder="1" applyAlignment="1">
      <alignment horizontal="left"/>
    </xf>
    <xf numFmtId="0" fontId="0" fillId="6" borderId="1" xfId="0" applyFill="1" applyBorder="1"/>
    <xf numFmtId="164" fontId="0" fillId="6" borderId="1" xfId="0" applyNumberFormat="1" applyFill="1" applyBorder="1" applyAlignment="1">
      <alignment horizontal="left"/>
    </xf>
    <xf numFmtId="0" fontId="25" fillId="9" borderId="20" xfId="0" applyFont="1" applyFill="1" applyBorder="1"/>
    <xf numFmtId="0" fontId="0" fillId="0" borderId="20" xfId="0" applyBorder="1"/>
    <xf numFmtId="0" fontId="25" fillId="9" borderId="2" xfId="0" applyFont="1" applyFill="1" applyBorder="1"/>
    <xf numFmtId="0" fontId="0" fillId="0" borderId="2" xfId="0" applyBorder="1"/>
    <xf numFmtId="0" fontId="26" fillId="0" borderId="1" xfId="0" applyFont="1" applyBorder="1"/>
    <xf numFmtId="0" fontId="38" fillId="0" borderId="2" xfId="0" applyFont="1" applyBorder="1"/>
    <xf numFmtId="0" fontId="28" fillId="0" borderId="1" xfId="0" applyFont="1" applyBorder="1"/>
    <xf numFmtId="0" fontId="43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0" fillId="0" borderId="6" xfId="2" applyFont="1" applyBorder="1" applyAlignment="1">
      <alignment horizontal="left" vertical="center" shrinkToFit="1"/>
    </xf>
    <xf numFmtId="0" fontId="0" fillId="0" borderId="0" xfId="2" applyFont="1" applyFill="1" applyAlignment="1">
      <alignment horizontal="left" vertical="center" shrinkToFit="1"/>
    </xf>
    <xf numFmtId="0" fontId="45" fillId="0" borderId="6" xfId="2" applyFont="1" applyFill="1" applyBorder="1" applyAlignment="1">
      <alignment horizontal="left" vertical="center" shrinkToFit="1"/>
    </xf>
    <xf numFmtId="0" fontId="45" fillId="0" borderId="6" xfId="2" applyFont="1" applyBorder="1" applyAlignment="1">
      <alignment horizontal="left" vertical="center" shrinkToFit="1"/>
    </xf>
    <xf numFmtId="0" fontId="46" fillId="0" borderId="0" xfId="0" applyFont="1" applyAlignment="1">
      <alignment horizontal="left" vertical="center" shrinkToFit="1"/>
    </xf>
    <xf numFmtId="0" fontId="45" fillId="0" borderId="0" xfId="2" applyFont="1" applyAlignment="1">
      <alignment horizontal="left" vertical="center" shrinkToFit="1"/>
    </xf>
    <xf numFmtId="164" fontId="0" fillId="0" borderId="0" xfId="0" applyNumberFormat="1" applyAlignment="1">
      <alignment horizontal="left" vertical="center" shrinkToFit="1"/>
    </xf>
    <xf numFmtId="14" fontId="0" fillId="0" borderId="0" xfId="0" applyNumberFormat="1" applyAlignment="1">
      <alignment horizontal="left" vertical="center" shrinkToFit="1"/>
    </xf>
    <xf numFmtId="0" fontId="3" fillId="0" borderId="0" xfId="0" applyFont="1"/>
    <xf numFmtId="0" fontId="49" fillId="5" borderId="23" xfId="0" applyFont="1" applyFill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49" fillId="5" borderId="7" xfId="0" applyFont="1" applyFill="1" applyBorder="1" applyAlignment="1">
      <alignment horizontal="left" vertical="center"/>
    </xf>
    <xf numFmtId="2" fontId="49" fillId="5" borderId="7" xfId="0" applyNumberFormat="1" applyFont="1" applyFill="1" applyBorder="1" applyAlignment="1">
      <alignment horizontal="left" vertical="center"/>
    </xf>
    <xf numFmtId="3" fontId="49" fillId="5" borderId="7" xfId="0" applyNumberFormat="1" applyFont="1" applyFill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2" fontId="3" fillId="0" borderId="7" xfId="0" applyNumberFormat="1" applyFont="1" applyBorder="1" applyAlignment="1">
      <alignment horizontal="left" vertical="center"/>
    </xf>
    <xf numFmtId="3" fontId="3" fillId="0" borderId="7" xfId="0" applyNumberFormat="1" applyFont="1" applyBorder="1" applyAlignment="1">
      <alignment horizontal="left" vertical="center"/>
    </xf>
    <xf numFmtId="2" fontId="3" fillId="0" borderId="0" xfId="0" applyNumberFormat="1" applyFont="1" applyAlignment="1">
      <alignment horizontal="left" vertical="center"/>
    </xf>
    <xf numFmtId="3" fontId="3" fillId="0" borderId="0" xfId="0" applyNumberFormat="1" applyFont="1" applyAlignment="1">
      <alignment horizontal="left" vertical="center"/>
    </xf>
    <xf numFmtId="165" fontId="49" fillId="5" borderId="7" xfId="0" applyNumberFormat="1" applyFont="1" applyFill="1" applyBorder="1" applyAlignment="1">
      <alignment horizontal="left" vertical="center"/>
    </xf>
    <xf numFmtId="165" fontId="3" fillId="0" borderId="7" xfId="0" applyNumberFormat="1" applyFont="1" applyBorder="1" applyAlignment="1">
      <alignment horizontal="left" vertical="center"/>
    </xf>
    <xf numFmtId="0" fontId="3" fillId="13" borderId="0" xfId="0" applyFont="1" applyFill="1" applyAlignment="1">
      <alignment horizontal="left" vertical="center"/>
    </xf>
    <xf numFmtId="0" fontId="49" fillId="13" borderId="0" xfId="0" applyFont="1" applyFill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50" fillId="0" borderId="0" xfId="0" applyFont="1" applyAlignment="1">
      <alignment horizontal="left" vertical="center"/>
    </xf>
    <xf numFmtId="164" fontId="3" fillId="0" borderId="0" xfId="0" applyNumberFormat="1" applyFont="1" applyAlignment="1">
      <alignment horizontal="left" vertical="center"/>
    </xf>
    <xf numFmtId="46" fontId="3" fillId="0" borderId="0" xfId="0" applyNumberFormat="1" applyFont="1" applyAlignment="1">
      <alignment horizontal="left" vertical="center"/>
    </xf>
    <xf numFmtId="10" fontId="3" fillId="0" borderId="0" xfId="0" applyNumberFormat="1" applyFont="1" applyAlignment="1">
      <alignment horizontal="left" vertical="center"/>
    </xf>
    <xf numFmtId="164" fontId="3" fillId="13" borderId="0" xfId="0" applyNumberFormat="1" applyFont="1" applyFill="1" applyAlignment="1">
      <alignment horizontal="left" vertical="center"/>
    </xf>
    <xf numFmtId="0" fontId="49" fillId="13" borderId="24" xfId="0" applyFont="1" applyFill="1" applyBorder="1" applyAlignment="1">
      <alignment horizontal="left" vertical="center"/>
    </xf>
    <xf numFmtId="0" fontId="48" fillId="14" borderId="0" xfId="0" applyFont="1" applyFill="1" applyAlignment="1">
      <alignment horizontal="left" vertical="center"/>
    </xf>
    <xf numFmtId="164" fontId="48" fillId="14" borderId="0" xfId="0" applyNumberFormat="1" applyFont="1" applyFill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0" fontId="45" fillId="0" borderId="0" xfId="2" applyFont="1" applyFill="1" applyAlignment="1">
      <alignment horizontal="left" vertical="center" shrinkToFit="1"/>
    </xf>
    <xf numFmtId="0" fontId="2" fillId="0" borderId="6" xfId="2" applyFill="1" applyBorder="1" applyAlignment="1">
      <alignment horizontal="left" vertical="center" shrinkToFit="1"/>
    </xf>
    <xf numFmtId="0" fontId="53" fillId="0" borderId="0" xfId="0" applyFont="1" applyAlignment="1">
      <alignment horizontal="left" vertical="center" shrinkToFit="1"/>
    </xf>
    <xf numFmtId="0" fontId="38" fillId="15" borderId="0" xfId="0" applyFont="1" applyFill="1" applyAlignment="1">
      <alignment horizontal="left" vertical="center"/>
    </xf>
    <xf numFmtId="0" fontId="2" fillId="9" borderId="1" xfId="2" applyFill="1" applyBorder="1" applyAlignment="1">
      <alignment horizontal="left" vertical="center"/>
    </xf>
    <xf numFmtId="17" fontId="52" fillId="0" borderId="0" xfId="0" quotePrefix="1" applyNumberFormat="1" applyFont="1" applyAlignment="1">
      <alignment horizontal="left" vertical="center"/>
    </xf>
    <xf numFmtId="0" fontId="7" fillId="5" borderId="15" xfId="0" applyFont="1" applyFill="1" applyBorder="1" applyAlignment="1">
      <alignment horizontal="left" vertical="center" textRotation="255"/>
    </xf>
    <xf numFmtId="0" fontId="1" fillId="0" borderId="0" xfId="0" applyFont="1" applyAlignment="1">
      <alignment horizontal="left" vertical="center"/>
    </xf>
    <xf numFmtId="0" fontId="12" fillId="0" borderId="12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4" fillId="6" borderId="4" xfId="0" applyFont="1" applyFill="1" applyBorder="1" applyAlignment="1">
      <alignment horizontal="left" vertical="center"/>
    </xf>
    <xf numFmtId="0" fontId="14" fillId="6" borderId="11" xfId="0" applyFont="1" applyFill="1" applyBorder="1" applyAlignment="1">
      <alignment horizontal="left" vertical="center"/>
    </xf>
    <xf numFmtId="0" fontId="14" fillId="6" borderId="5" xfId="0" applyFont="1" applyFill="1" applyBorder="1" applyAlignment="1">
      <alignment horizontal="left" vertical="center"/>
    </xf>
    <xf numFmtId="0" fontId="42" fillId="2" borderId="22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left" vertical="center"/>
    </xf>
    <xf numFmtId="0" fontId="42" fillId="15" borderId="22" xfId="0" applyFont="1" applyFill="1" applyBorder="1" applyAlignment="1">
      <alignment horizontal="center" vertical="center"/>
    </xf>
    <xf numFmtId="0" fontId="3" fillId="0" borderId="0" xfId="0" applyFont="1" applyFill="1" applyAlignment="1">
      <alignment horizontal="left" vertical="center"/>
    </xf>
    <xf numFmtId="164" fontId="3" fillId="0" borderId="0" xfId="0" applyNumberFormat="1" applyFont="1" applyFill="1" applyAlignment="1">
      <alignment horizontal="left" vertical="center"/>
    </xf>
    <xf numFmtId="1" fontId="3" fillId="0" borderId="0" xfId="0" applyNumberFormat="1" applyFont="1" applyFill="1" applyAlignment="1">
      <alignment horizontal="left" vertical="center"/>
    </xf>
    <xf numFmtId="1" fontId="3" fillId="0" borderId="0" xfId="0" applyNumberFormat="1" applyFont="1" applyFill="1" applyBorder="1" applyAlignment="1">
      <alignment horizontal="left" vertical="center"/>
    </xf>
    <xf numFmtId="0" fontId="3" fillId="13" borderId="0" xfId="0" applyFont="1" applyFill="1" applyBorder="1" applyAlignment="1">
      <alignment horizontal="left" vertical="center"/>
    </xf>
  </cellXfs>
  <cellStyles count="3">
    <cellStyle name="Hiperlink" xfId="1" builtinId="8"/>
    <cellStyle name="Hyperlink" xfId="2" xr:uid="{A28B0942-7AC2-424A-8E0C-1E4749708F6E}"/>
    <cellStyle name="Normal" xfId="0" builtinId="0"/>
  </cellStyles>
  <dxfs count="1131"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164" formatCode="&quot;R$&quot;\ #,##0.00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5" tint="-0.499984740745262"/>
      </font>
      <fill>
        <patternFill>
          <bgColor rgb="FFFFFF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  <border diagonalUp="0" diagonalDown="0">
        <left style="double">
          <color rgb="FF000000"/>
        </left>
        <right style="double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R$&quot;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1"/>
      </font>
      <fill>
        <patternFill>
          <bgColor rgb="FFFFFFFF"/>
        </patternFill>
      </fill>
      <border>
        <bottom style="hair">
          <color auto="1"/>
        </bottom>
      </border>
    </dxf>
    <dxf>
      <font>
        <color rgb="FF663300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5" formatCode="hh:mm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1" readingOrder="0"/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 patternType="solid">
          <bgColor theme="6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 patternType="solid">
          <bgColor theme="7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 patternType="solid">
          <bgColor rgb="FFFFD9FC"/>
        </patternFill>
      </fill>
    </dxf>
    <dxf>
      <font>
        <b/>
        <i val="0"/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/>
        <i/>
        <color rgb="FF663300"/>
      </font>
      <fill>
        <patternFill>
          <bgColor rgb="FFFFFFCC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6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/>
      </fill>
      <alignment horizontal="left" vertical="center" textRotation="0" wrapText="0" indent="0" justifyLastLine="0" shrinkToFit="0" readingOrder="0"/>
    </dxf>
    <dxf>
      <fill>
        <patternFill patternType="none"/>
      </fill>
      <alignment horizontal="left" vertical="center"/>
    </dxf>
    <dxf>
      <fill>
        <patternFill patternType="solid">
          <fgColor indexed="64"/>
          <bgColor theme="6"/>
        </patternFill>
      </fill>
      <alignment horizontal="left"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6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/>
      </fill>
      <alignment horizontal="left" vertical="center" textRotation="0" wrapText="0" indent="0" justifyLastLine="0" shrinkToFit="0" readingOrder="0"/>
    </dxf>
    <dxf>
      <fill>
        <patternFill patternType="none"/>
      </fill>
      <alignment horizontal="left" vertical="center"/>
    </dxf>
    <dxf>
      <fill>
        <patternFill patternType="solid">
          <fgColor indexed="64"/>
          <bgColor theme="6"/>
        </patternFill>
      </fill>
      <alignment horizontal="left" vertic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alignment horizontal="center"/>
    </dxf>
    <dxf>
      <numFmt numFmtId="1" formatCode="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right/>
        <top/>
        <bottom/>
      </border>
    </dxf>
    <dxf>
      <border>
        <right/>
        <top/>
        <bottom/>
      </border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alignment horizontal="center"/>
    </dxf>
    <dxf>
      <numFmt numFmtId="1" formatCode="0"/>
    </dxf>
    <dxf>
      <alignment horizontal="center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alignment horizontal="center"/>
    </dxf>
    <dxf>
      <numFmt numFmtId="1" formatCode="0"/>
    </dxf>
    <dxf>
      <alignment horizontal="center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right/>
        <top/>
        <bottom/>
      </border>
    </dxf>
    <dxf>
      <border>
        <right/>
        <top/>
        <bottom/>
      </border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alignment horizontal="center"/>
    </dxf>
    <dxf>
      <numFmt numFmtId="1" formatCode="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  <i val="0"/>
        <color theme="0"/>
      </font>
      <fill>
        <patternFill>
          <bgColor theme="6" tint="-0.499984740745262"/>
        </patternFill>
      </fill>
    </dxf>
  </dxfs>
  <tableStyles count="1" defaultTableStyle="JD" defaultPivotStyle="PivotStyleLight16">
    <tableStyle name="JD" pivot="0" count="1" xr9:uid="{E672CA73-22C0-4798-94C1-1C25F9451519}">
      <tableStyleElement type="headerRow" dxfId="1130"/>
    </tableStyle>
  </tableStyles>
  <colors>
    <mruColors>
      <color rgb="FFFFFFCC"/>
      <color rgb="FFF2C400"/>
      <color rgb="FFFF9933"/>
      <color rgb="FFFFD9FC"/>
      <color rgb="FF870101"/>
      <color rgb="FFFFFFFF"/>
      <color rgb="FF66330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TRANSPORTE</a:t>
            </a:r>
            <a:r>
              <a:rPr lang="pt-BR" baseline="0"/>
              <a:t> MÁQUINAS - </a:t>
            </a:r>
            <a:r>
              <a:rPr lang="pt-BR"/>
              <a:t>META VS REAL</a:t>
            </a:r>
          </a:p>
        </c:rich>
      </c:tx>
      <c:layout>
        <c:manualLayout>
          <c:xMode val="edge"/>
          <c:yMode val="edge"/>
          <c:x val="0.30483918480429034"/>
          <c:y val="0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3.4441138892421938E-2"/>
          <c:y val="8.5867740852635113E-2"/>
          <c:w val="0.9311177222151561"/>
          <c:h val="0.7071999594743058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CUSTOS!$B$5</c:f>
              <c:strCache>
                <c:ptCount val="1"/>
                <c:pt idx="0">
                  <c:v>Meta Frete 2026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6670129775444736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9BF-447A-901A-48A6B7EAF556}"/>
                </c:ext>
              </c:extLst>
            </c:dLbl>
            <c:dLbl>
              <c:idx val="4"/>
              <c:layout>
                <c:manualLayout>
                  <c:x val="1.9764795817208943E-3"/>
                  <c:y val="-0.10265784485272675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9BF-447A-901A-48A6B7EAF556}"/>
                </c:ext>
              </c:extLst>
            </c:dLbl>
            <c:numFmt formatCode="&quot;R$&quot;\ #,##0" sourceLinked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CUSTOS!$C$4:$G$4</c:f>
              <c:strCache>
                <c:ptCount val="5"/>
                <c:pt idx="0">
                  <c:v>COLHEITADEIRA</c:v>
                </c:pt>
                <c:pt idx="1">
                  <c:v>PLANTADEIRA</c:v>
                </c:pt>
                <c:pt idx="2">
                  <c:v>PLATAFORMA</c:v>
                </c:pt>
                <c:pt idx="3">
                  <c:v>PULVERIZADOR</c:v>
                </c:pt>
                <c:pt idx="4">
                  <c:v>TRATOR</c:v>
                </c:pt>
              </c:strCache>
            </c:strRef>
          </c:cat>
          <c:val>
            <c:numRef>
              <c:f>CUSTOS!$C$5:$G$5</c:f>
              <c:numCache>
                <c:formatCode>"R$"\ #,##0.00</c:formatCode>
                <c:ptCount val="5"/>
                <c:pt idx="0">
                  <c:v>2200</c:v>
                </c:pt>
                <c:pt idx="1">
                  <c:v>1850</c:v>
                </c:pt>
                <c:pt idx="2">
                  <c:v>800</c:v>
                </c:pt>
                <c:pt idx="3">
                  <c:v>2000</c:v>
                </c:pt>
                <c:pt idx="4">
                  <c:v>1500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447A-901A-48A6B7EAF55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61349952"/>
        <c:axId val="1361335072"/>
      </c:barChart>
      <c:barChart>
        <c:barDir val="col"/>
        <c:grouping val="stacked"/>
        <c:varyColors val="0"/>
        <c:ser>
          <c:idx val="1"/>
          <c:order val="1"/>
          <c:tx>
            <c:strRef>
              <c:f>CUSTOS!$B$6</c:f>
              <c:strCache>
                <c:ptCount val="1"/>
                <c:pt idx="0">
                  <c:v>Média (P+T)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FC000"/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-1.1050706176943212E-17"/>
                  <c:y val="-4.397965879265092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9BF-447A-901A-48A6B7EAF556}"/>
                </c:ext>
              </c:extLst>
            </c:dLbl>
            <c:numFmt formatCode="&quot;R$&quot;\ #,##0" sourceLinked="0"/>
            <c:spPr>
              <a:solidFill>
                <a:srgbClr val="FFFFCC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CUSTOS!$C$4:$G$4</c:f>
              <c:strCache>
                <c:ptCount val="5"/>
                <c:pt idx="0">
                  <c:v>COLHEITADEIRA</c:v>
                </c:pt>
                <c:pt idx="1">
                  <c:v>PLANTADEIRA</c:v>
                </c:pt>
                <c:pt idx="2">
                  <c:v>PLATAFORMA</c:v>
                </c:pt>
                <c:pt idx="3">
                  <c:v>PULVERIZADOR</c:v>
                </c:pt>
                <c:pt idx="4">
                  <c:v>TRATOR</c:v>
                </c:pt>
              </c:strCache>
            </c:strRef>
          </c:cat>
          <c:val>
            <c:numRef>
              <c:f>CUSTOS!$C$6:$G$6</c:f>
              <c:numCache>
                <c:formatCode>"R$"\ #,##0.00</c:formatCode>
                <c:ptCount val="5"/>
                <c:pt idx="0">
                  <c:v>1213.9375</c:v>
                </c:pt>
                <c:pt idx="1">
                  <c:v>1561</c:v>
                </c:pt>
                <c:pt idx="2">
                  <c:v>503.84615384615387</c:v>
                </c:pt>
                <c:pt idx="3">
                  <c:v>3904</c:v>
                </c:pt>
                <c:pt idx="4">
                  <c:v>1045.6722222222222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BF-447A-901A-48A6B7EAF55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0"/>
        <c:overlap val="100"/>
        <c:axId val="992347968"/>
        <c:axId val="992345568"/>
      </c:barChart>
      <c:catAx>
        <c:axId val="136134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1335072"/>
        <c:crosses val="autoZero"/>
        <c:auto val="1"/>
        <c:lblAlgn val="ctr"/>
        <c:lblOffset val="100"/>
        <c:noMultiLvlLbl val="0"/>
      </c:catAx>
      <c:valAx>
        <c:axId val="1361335072"/>
        <c:scaling>
          <c:orientation val="minMax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1349952"/>
        <c:crosses val="autoZero"/>
        <c:crossBetween val="between"/>
      </c:valAx>
      <c:valAx>
        <c:axId val="992345568"/>
        <c:scaling>
          <c:orientation val="minMax"/>
        </c:scaling>
        <c:delete val="0"/>
        <c:axPos val="r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2347968"/>
        <c:crosses val="max"/>
        <c:crossBetween val="between"/>
      </c:valAx>
      <c:catAx>
        <c:axId val="99234796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92345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6777151776245487"/>
          <c:y val="0.91103234452188941"/>
          <c:w val="0.27746960953156768"/>
          <c:h val="8.896839656782666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720" b="1" i="0" u="none" strike="noStrike" kern="1200" cap="none" spc="20" baseline="0">
                <a:solidFill>
                  <a:sysClr val="windowText" lastClr="000000"/>
                </a:solidFill>
              </a:rPr>
              <a:t>TRANSPORTE MÁQUINAS - CUSTO POR TIPO</a:t>
            </a:r>
          </a:p>
        </c:rich>
      </c:tx>
      <c:layout>
        <c:manualLayout>
          <c:xMode val="edge"/>
          <c:yMode val="edge"/>
          <c:x val="0.3081977810098578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FFCC"/>
          </a:solidFill>
          <a:ln w="9525" cap="flat" cmpd="sng" algn="ctr">
            <a:solidFill>
              <a:srgbClr val="FFC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158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149236965695691E-2"/>
          <c:y val="0.15299355488873348"/>
          <c:w val="0.96549507081806285"/>
          <c:h val="0.644512630763561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CUSTOS!$J$4</c:f>
              <c:strCache>
                <c:ptCount val="1"/>
                <c:pt idx="0">
                  <c:v>Soma Proprio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CUSTOS!$I$5:$I$9</c:f>
              <c:strCache>
                <c:ptCount val="5"/>
                <c:pt idx="0">
                  <c:v>TRATOR</c:v>
                </c:pt>
                <c:pt idx="1">
                  <c:v>PULVERIZADOR</c:v>
                </c:pt>
                <c:pt idx="2">
                  <c:v>COLHEITADEIRA</c:v>
                </c:pt>
                <c:pt idx="3">
                  <c:v>PLATAFORMA</c:v>
                </c:pt>
                <c:pt idx="4">
                  <c:v>PLANTADEIRA</c:v>
                </c:pt>
              </c:strCache>
            </c:strRef>
          </c:cat>
          <c:val>
            <c:numRef>
              <c:f>CUSTOS!$J$5:$J$9</c:f>
              <c:numCache>
                <c:formatCode>"R$"\ #,##0.00</c:formatCode>
                <c:ptCount val="5"/>
                <c:pt idx="0">
                  <c:v>34428</c:v>
                </c:pt>
                <c:pt idx="1">
                  <c:v>2112</c:v>
                </c:pt>
                <c:pt idx="2">
                  <c:v>11100</c:v>
                </c:pt>
                <c:pt idx="3">
                  <c:v>3200</c:v>
                </c:pt>
                <c:pt idx="4">
                  <c:v>1122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0E-4FF1-8B84-1802627C8FB4}"/>
            </c:ext>
          </c:extLst>
        </c:ser>
        <c:ser>
          <c:idx val="1"/>
          <c:order val="1"/>
          <c:tx>
            <c:strRef>
              <c:f>CUSTOS!$K$4</c:f>
              <c:strCache>
                <c:ptCount val="1"/>
                <c:pt idx="0">
                  <c:v>Soma Terceiro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FC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CUSTOS!$I$5:$I$9</c:f>
              <c:strCache>
                <c:ptCount val="5"/>
                <c:pt idx="0">
                  <c:v>TRATOR</c:v>
                </c:pt>
                <c:pt idx="1">
                  <c:v>PULVERIZADOR</c:v>
                </c:pt>
                <c:pt idx="2">
                  <c:v>COLHEITADEIRA</c:v>
                </c:pt>
                <c:pt idx="3">
                  <c:v>PLATAFORMA</c:v>
                </c:pt>
                <c:pt idx="4">
                  <c:v>PLANTADEIRA</c:v>
                </c:pt>
              </c:strCache>
            </c:strRef>
          </c:cat>
          <c:val>
            <c:numRef>
              <c:f>CUSTOS!$K$5:$K$9</c:f>
              <c:numCache>
                <c:formatCode>"R$"\ #,##0.00</c:formatCode>
                <c:ptCount val="5"/>
                <c:pt idx="0">
                  <c:v>22038.3</c:v>
                </c:pt>
                <c:pt idx="1">
                  <c:v>9600</c:v>
                </c:pt>
                <c:pt idx="2">
                  <c:v>8323</c:v>
                </c:pt>
                <c:pt idx="3">
                  <c:v>3350</c:v>
                </c:pt>
                <c:pt idx="4">
                  <c:v>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0E-4FF1-8B84-1802627C8F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100"/>
        <c:axId val="989200928"/>
        <c:axId val="989184608"/>
      </c:barChart>
      <c:lineChart>
        <c:grouping val="percentStacked"/>
        <c:varyColors val="0"/>
        <c:ser>
          <c:idx val="2"/>
          <c:order val="2"/>
          <c:tx>
            <c:strRef>
              <c:f>CUSTOS!$L$4</c:f>
              <c:strCache>
                <c:ptCount val="1"/>
                <c:pt idx="0">
                  <c:v>Qtd Frete</c:v>
                </c:pt>
              </c:strCache>
            </c:strRef>
          </c:tx>
          <c:spPr>
            <a:ln w="158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CUSTOS!$I$5:$I$9</c:f>
              <c:strCache>
                <c:ptCount val="5"/>
                <c:pt idx="0">
                  <c:v>TRATOR</c:v>
                </c:pt>
                <c:pt idx="1">
                  <c:v>PULVERIZADOR</c:v>
                </c:pt>
                <c:pt idx="2">
                  <c:v>COLHEITADEIRA</c:v>
                </c:pt>
                <c:pt idx="3">
                  <c:v>PLATAFORMA</c:v>
                </c:pt>
                <c:pt idx="4">
                  <c:v>PLANTADEIRA</c:v>
                </c:pt>
              </c:strCache>
            </c:strRef>
          </c:cat>
          <c:val>
            <c:numRef>
              <c:f>CUSTOS!$L$5:$L$9</c:f>
              <c:numCache>
                <c:formatCode>0</c:formatCode>
                <c:ptCount val="5"/>
                <c:pt idx="0">
                  <c:v>66</c:v>
                </c:pt>
                <c:pt idx="1">
                  <c:v>3</c:v>
                </c:pt>
                <c:pt idx="2">
                  <c:v>16</c:v>
                </c:pt>
                <c:pt idx="3">
                  <c:v>13</c:v>
                </c:pt>
                <c:pt idx="4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0E-4FF1-8B84-1802627C8FB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09819808"/>
        <c:axId val="1009827008"/>
      </c:lineChart>
      <c:catAx>
        <c:axId val="989200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9184608"/>
        <c:crosses val="autoZero"/>
        <c:auto val="1"/>
        <c:lblAlgn val="ctr"/>
        <c:lblOffset val="100"/>
        <c:noMultiLvlLbl val="0"/>
      </c:catAx>
      <c:valAx>
        <c:axId val="989184608"/>
        <c:scaling>
          <c:logBase val="1000"/>
          <c:orientation val="minMax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9200928"/>
        <c:crosses val="autoZero"/>
        <c:crossBetween val="between"/>
      </c:valAx>
      <c:valAx>
        <c:axId val="100982700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9819808"/>
        <c:crosses val="max"/>
        <c:crossBetween val="between"/>
      </c:valAx>
      <c:catAx>
        <c:axId val="100981980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98270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2608870771423387"/>
          <c:y val="0.91562093420270885"/>
          <c:w val="0.55743736412761824"/>
          <c:h val="8.43792087433498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TRANSPORTE MÁQUINAS - CUSTO</a:t>
            </a:r>
            <a:r>
              <a:rPr lang="pt-BR" baseline="0"/>
              <a:t> COM TERCEIROS</a:t>
            </a:r>
            <a:endParaRPr lang="pt-BR"/>
          </a:p>
        </c:rich>
      </c:tx>
      <c:layout>
        <c:manualLayout>
          <c:xMode val="edge"/>
          <c:yMode val="edge"/>
          <c:x val="0.2719661287669053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FFCC"/>
          </a:solidFill>
          <a:ln w="9525" cap="flat" cmpd="sng" algn="ctr">
            <a:solidFill>
              <a:srgbClr val="F2C4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7822426617594345"/>
          <c:y val="0.13499116559882435"/>
          <c:w val="0.797141700951567"/>
          <c:h val="0.75460301156604115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CUSTOS!$N$4</c:f>
              <c:strCache>
                <c:ptCount val="1"/>
                <c:pt idx="0">
                  <c:v>Valor 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CUSTOS!$M$5:$M$12</c:f>
              <c:strCache>
                <c:ptCount val="8"/>
                <c:pt idx="0">
                  <c:v>TERCEIRO MAZETTO</c:v>
                </c:pt>
                <c:pt idx="1">
                  <c:v>TERCEIRO COLOMBO</c:v>
                </c:pt>
                <c:pt idx="2">
                  <c:v>TERCEIRO AGROMAQ</c:v>
                </c:pt>
                <c:pt idx="3">
                  <c:v>TERCEIRO ZORTEA</c:v>
                </c:pt>
                <c:pt idx="4">
                  <c:v>TERCEIRO DEMETRIO</c:v>
                </c:pt>
                <c:pt idx="5">
                  <c:v>TERCEIRO NELSON</c:v>
                </c:pt>
                <c:pt idx="6">
                  <c:v>TERCEIRO JAPONES</c:v>
                </c:pt>
                <c:pt idx="7">
                  <c:v>TERCEIRO STOSKI</c:v>
                </c:pt>
              </c:strCache>
            </c:strRef>
          </c:cat>
          <c:val>
            <c:numRef>
              <c:f>CUSTOS!$N$5:$N$12</c:f>
              <c:numCache>
                <c:formatCode>"R$"\ #,##0.00</c:formatCode>
                <c:ptCount val="8"/>
                <c:pt idx="0">
                  <c:v>16373.3</c:v>
                </c:pt>
                <c:pt idx="1">
                  <c:v>9600</c:v>
                </c:pt>
                <c:pt idx="2">
                  <c:v>6600</c:v>
                </c:pt>
                <c:pt idx="3">
                  <c:v>5400</c:v>
                </c:pt>
                <c:pt idx="4">
                  <c:v>2830</c:v>
                </c:pt>
                <c:pt idx="5">
                  <c:v>2270</c:v>
                </c:pt>
                <c:pt idx="6">
                  <c:v>1328</c:v>
                </c:pt>
                <c:pt idx="7">
                  <c:v>910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36-4567-9380-4AD1DF5729D3}"/>
            </c:ext>
          </c:extLst>
        </c:ser>
        <c:ser>
          <c:idx val="1"/>
          <c:order val="1"/>
          <c:tx>
            <c:strRef>
              <c:f>CUSTOS!$O$4</c:f>
              <c:strCache>
                <c:ptCount val="1"/>
                <c:pt idx="0">
                  <c:v>Total KM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2C4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CUSTOS!$M$5:$M$12</c:f>
              <c:strCache>
                <c:ptCount val="8"/>
                <c:pt idx="0">
                  <c:v>TERCEIRO MAZETTO</c:v>
                </c:pt>
                <c:pt idx="1">
                  <c:v>TERCEIRO COLOMBO</c:v>
                </c:pt>
                <c:pt idx="2">
                  <c:v>TERCEIRO AGROMAQ</c:v>
                </c:pt>
                <c:pt idx="3">
                  <c:v>TERCEIRO ZORTEA</c:v>
                </c:pt>
                <c:pt idx="4">
                  <c:v>TERCEIRO DEMETRIO</c:v>
                </c:pt>
                <c:pt idx="5">
                  <c:v>TERCEIRO NELSON</c:v>
                </c:pt>
                <c:pt idx="6">
                  <c:v>TERCEIRO JAPONES</c:v>
                </c:pt>
                <c:pt idx="7">
                  <c:v>TERCEIRO STOSKI</c:v>
                </c:pt>
              </c:strCache>
            </c:strRef>
          </c:cat>
          <c:val>
            <c:numRef>
              <c:f>CUSTOS!$O$5:$O$12</c:f>
              <c:numCache>
                <c:formatCode>0</c:formatCode>
                <c:ptCount val="8"/>
                <c:pt idx="0">
                  <c:v>2389</c:v>
                </c:pt>
                <c:pt idx="1">
                  <c:v>733</c:v>
                </c:pt>
                <c:pt idx="2">
                  <c:v>1330</c:v>
                </c:pt>
                <c:pt idx="3">
                  <c:v>956</c:v>
                </c:pt>
                <c:pt idx="4">
                  <c:v>748</c:v>
                </c:pt>
                <c:pt idx="5">
                  <c:v>480</c:v>
                </c:pt>
                <c:pt idx="6">
                  <c:v>166</c:v>
                </c:pt>
                <c:pt idx="7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36-4567-9380-4AD1DF5729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793349503"/>
        <c:axId val="793366783"/>
      </c:barChart>
      <c:catAx>
        <c:axId val="793349503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3366783"/>
        <c:crosses val="autoZero"/>
        <c:auto val="1"/>
        <c:lblAlgn val="ctr"/>
        <c:lblOffset val="100"/>
        <c:noMultiLvlLbl val="0"/>
      </c:catAx>
      <c:valAx>
        <c:axId val="793366783"/>
        <c:scaling>
          <c:logBase val="10"/>
          <c:orientation val="minMax"/>
        </c:scaling>
        <c:delete val="0"/>
        <c:axPos val="t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3349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0447948365109404"/>
          <c:y val="0.94153217611531181"/>
          <c:w val="0.20582679653568217"/>
          <c:h val="5.84685915966593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[LOGISTICA2026.xlsx]CUSTOS!G04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CUSTOS - UTILIZAÇÃO DE MUNCK</a:t>
            </a:r>
          </a:p>
        </c:rich>
      </c:tx>
      <c:layout>
        <c:manualLayout>
          <c:xMode val="edge"/>
          <c:yMode val="edge"/>
          <c:x val="1.8410995832690584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6">
                  <a:lumMod val="110000"/>
                  <a:satMod val="105000"/>
                  <a:tint val="67000"/>
                </a:schemeClr>
              </a:gs>
              <a:gs pos="50000">
                <a:schemeClr val="accent6"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shade val="9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1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6">
                  <a:shade val="58000"/>
                  <a:lumMod val="110000"/>
                  <a:satMod val="105000"/>
                  <a:tint val="67000"/>
                </a:schemeClr>
              </a:gs>
              <a:gs pos="50000">
                <a:schemeClr val="accent6">
                  <a:shade val="58000"/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shade val="58000"/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shade val="58000"/>
                <a:shade val="95000"/>
              </a:schemeClr>
            </a:solidFill>
            <a:round/>
          </a:ln>
          <a:effectLst/>
        </c:spPr>
      </c:pivotFmt>
      <c:pivotFmt>
        <c:idx val="2"/>
        <c:spPr>
          <a:gradFill rotWithShape="1">
            <a:gsLst>
              <a:gs pos="0">
                <a:schemeClr val="accent6">
                  <a:shade val="86000"/>
                  <a:lumMod val="110000"/>
                  <a:satMod val="105000"/>
                  <a:tint val="67000"/>
                </a:schemeClr>
              </a:gs>
              <a:gs pos="50000">
                <a:schemeClr val="accent6">
                  <a:shade val="86000"/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shade val="86000"/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shade val="86000"/>
                <a:shade val="95000"/>
              </a:schemeClr>
            </a:solidFill>
            <a:round/>
          </a:ln>
          <a:effectLst/>
        </c:spPr>
      </c:pivotFmt>
      <c:pivotFmt>
        <c:idx val="3"/>
        <c:spPr>
          <a:gradFill rotWithShape="1">
            <a:gsLst>
              <a:gs pos="0">
                <a:schemeClr val="accent6">
                  <a:tint val="86000"/>
                  <a:lumMod val="110000"/>
                  <a:satMod val="105000"/>
                  <a:tint val="67000"/>
                </a:schemeClr>
              </a:gs>
              <a:gs pos="50000">
                <a:schemeClr val="accent6">
                  <a:tint val="86000"/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tint val="86000"/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tint val="86000"/>
                <a:shade val="95000"/>
              </a:schemeClr>
            </a:solidFill>
            <a:round/>
          </a:ln>
          <a:effectLst/>
        </c:spPr>
      </c:pivotFmt>
      <c:pivotFmt>
        <c:idx val="4"/>
        <c:spPr>
          <a:gradFill rotWithShape="1">
            <a:gsLst>
              <a:gs pos="0">
                <a:schemeClr val="accent6">
                  <a:tint val="58000"/>
                  <a:lumMod val="110000"/>
                  <a:satMod val="105000"/>
                  <a:tint val="67000"/>
                </a:schemeClr>
              </a:gs>
              <a:gs pos="50000">
                <a:schemeClr val="accent6">
                  <a:tint val="58000"/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tint val="58000"/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tint val="58000"/>
                <a:shade val="95000"/>
              </a:schemeClr>
            </a:solidFill>
            <a:round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36426712441443015"/>
          <c:y val="0.16418452030487213"/>
          <c:w val="0.3184278921838844"/>
          <c:h val="0.82875356865717953"/>
        </c:manualLayout>
      </c:layout>
      <c:pieChart>
        <c:varyColors val="1"/>
        <c:ser>
          <c:idx val="0"/>
          <c:order val="0"/>
          <c:tx>
            <c:strRef>
              <c:f>CUSTOS!$Q$4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6">
                      <a:shade val="58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shade val="58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shade val="58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shade val="58000"/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9C1-4C31-AB9C-6247ECC72EF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6">
                      <a:shade val="86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shade val="86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shade val="86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shade val="86000"/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B9C1-4C31-AB9C-6247ECC72EF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6">
                      <a:tint val="86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tint val="86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tint val="86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tint val="86000"/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B9C1-4C31-AB9C-6247ECC72EF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6">
                      <a:tint val="58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tint val="58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tint val="58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tint val="58000"/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B9C1-4C31-AB9C-6247ECC72EF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CUSTOS!$P$5:$P$8</c:f>
              <c:strCache>
                <c:ptCount val="4"/>
                <c:pt idx="0">
                  <c:v>ARAPOTI</c:v>
                </c:pt>
                <c:pt idx="1">
                  <c:v>IRATI</c:v>
                </c:pt>
                <c:pt idx="2">
                  <c:v>PG</c:v>
                </c:pt>
                <c:pt idx="3">
                  <c:v>GRPVA</c:v>
                </c:pt>
              </c:strCache>
            </c:strRef>
          </c:cat>
          <c:val>
            <c:numRef>
              <c:f>CUSTOS!$Q$5:$Q$8</c:f>
              <c:numCache>
                <c:formatCode>"R$"\ #,##0.00</c:formatCode>
                <c:ptCount val="4"/>
                <c:pt idx="0">
                  <c:v>3395</c:v>
                </c:pt>
                <c:pt idx="1">
                  <c:v>1262</c:v>
                </c:pt>
                <c:pt idx="2">
                  <c:v>440</c:v>
                </c:pt>
                <c:pt idx="3">
                  <c:v>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0B-45E7-9128-CE5A4672A6E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 PEÇAS - CUSTO COURIER POR LOJA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CUSTOS!$S$4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CUSTOS!$R$5:$R$11</c:f>
              <c:strCache>
                <c:ptCount val="7"/>
                <c:pt idx="0">
                  <c:v>PG</c:v>
                </c:pt>
                <c:pt idx="1">
                  <c:v>CASTRO</c:v>
                </c:pt>
                <c:pt idx="2">
                  <c:v>GRPVA</c:v>
                </c:pt>
                <c:pt idx="3">
                  <c:v>TIBAGI</c:v>
                </c:pt>
                <c:pt idx="4">
                  <c:v>PRUDE</c:v>
                </c:pt>
                <c:pt idx="5">
                  <c:v>ARAPOTI</c:v>
                </c:pt>
                <c:pt idx="6">
                  <c:v>IRATI</c:v>
                </c:pt>
              </c:strCache>
            </c:strRef>
          </c:cat>
          <c:val>
            <c:numRef>
              <c:f>CUSTOS!$S$5:$S$11</c:f>
              <c:numCache>
                <c:formatCode>"R$"\ #,##0.00</c:formatCode>
                <c:ptCount val="7"/>
                <c:pt idx="0">
                  <c:v>8445</c:v>
                </c:pt>
                <c:pt idx="1">
                  <c:v>4770</c:v>
                </c:pt>
                <c:pt idx="2">
                  <c:v>1800</c:v>
                </c:pt>
                <c:pt idx="3">
                  <c:v>1760</c:v>
                </c:pt>
                <c:pt idx="4">
                  <c:v>1095</c:v>
                </c:pt>
                <c:pt idx="5">
                  <c:v>990</c:v>
                </c:pt>
                <c:pt idx="6">
                  <c:v>180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1A-4FBB-B4CC-B7D7D077D06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-24"/>
        <c:axId val="973360192"/>
        <c:axId val="973351552"/>
      </c:barChart>
      <c:catAx>
        <c:axId val="97336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3351552"/>
        <c:crosses val="autoZero"/>
        <c:auto val="1"/>
        <c:lblAlgn val="ctr"/>
        <c:lblOffset val="100"/>
        <c:noMultiLvlLbl val="0"/>
      </c:catAx>
      <c:valAx>
        <c:axId val="973351552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973360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 PEÇAS - CUSTO TRANSPORTADORA POR LOJA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CUSTOS!$U$4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CUSTOS!$T$5:$T$11</c:f>
              <c:strCache>
                <c:ptCount val="7"/>
                <c:pt idx="0">
                  <c:v>PG</c:v>
                </c:pt>
                <c:pt idx="1">
                  <c:v>GRPVA</c:v>
                </c:pt>
                <c:pt idx="2">
                  <c:v>ARAPOTI</c:v>
                </c:pt>
                <c:pt idx="3">
                  <c:v>PRUDE</c:v>
                </c:pt>
                <c:pt idx="4">
                  <c:v>IRATI</c:v>
                </c:pt>
                <c:pt idx="5">
                  <c:v>CASTRO</c:v>
                </c:pt>
                <c:pt idx="6">
                  <c:v>TIBAGI</c:v>
                </c:pt>
              </c:strCache>
            </c:strRef>
          </c:cat>
          <c:val>
            <c:numRef>
              <c:f>CUSTOS!$U$5:$U$11</c:f>
              <c:numCache>
                <c:formatCode>"R$"\ #,##0.00</c:formatCode>
                <c:ptCount val="7"/>
                <c:pt idx="0">
                  <c:v>8132.619999999999</c:v>
                </c:pt>
                <c:pt idx="1">
                  <c:v>1323.8</c:v>
                </c:pt>
                <c:pt idx="2">
                  <c:v>1100</c:v>
                </c:pt>
                <c:pt idx="3">
                  <c:v>862</c:v>
                </c:pt>
                <c:pt idx="4">
                  <c:v>862</c:v>
                </c:pt>
                <c:pt idx="5">
                  <c:v>850</c:v>
                </c:pt>
                <c:pt idx="6">
                  <c:v>830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16-4075-A847-861B3A058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-24"/>
        <c:axId val="1040574160"/>
        <c:axId val="1040574640"/>
      </c:barChart>
      <c:catAx>
        <c:axId val="1040574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40574640"/>
        <c:crosses val="autoZero"/>
        <c:auto val="1"/>
        <c:lblAlgn val="ctr"/>
        <c:lblOffset val="100"/>
        <c:noMultiLvlLbl val="0"/>
      </c:catAx>
      <c:valAx>
        <c:axId val="1040574640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040574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[LOGISTICA2026.xlsx]CUSTOS!G07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 PEÇAS - CUSTO COURIER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5546590983900344E-2"/>
          <c:y val="0.20747840685647267"/>
          <c:w val="0.94890681803219934"/>
          <c:h val="0.5657722599879713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CUSTOS!$W$4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CUSTOS!$V$5:$V$11</c:f>
              <c:strCache>
                <c:ptCount val="7"/>
                <c:pt idx="0">
                  <c:v>DELTA MOTOS COURIER</c:v>
                </c:pt>
                <c:pt idx="1">
                  <c:v>JOSEAMILTON1 COURIER</c:v>
                </c:pt>
                <c:pt idx="2">
                  <c:v>MARCOS D. COURIER</c:v>
                </c:pt>
                <c:pt idx="3">
                  <c:v>UNIBOY COURIER</c:v>
                </c:pt>
                <c:pt idx="4">
                  <c:v>JORGE LUIZ 2 COURIER</c:v>
                </c:pt>
                <c:pt idx="5">
                  <c:v>ANDREIA R. COURIER</c:v>
                </c:pt>
                <c:pt idx="6">
                  <c:v>JOHN ELVIS COURIER</c:v>
                </c:pt>
              </c:strCache>
            </c:strRef>
          </c:cat>
          <c:val>
            <c:numRef>
              <c:f>CUSTOS!$W$5:$W$11</c:f>
              <c:numCache>
                <c:formatCode>"R$"\ #,##0.00</c:formatCode>
                <c:ptCount val="7"/>
                <c:pt idx="0">
                  <c:v>11420</c:v>
                </c:pt>
                <c:pt idx="1">
                  <c:v>2390</c:v>
                </c:pt>
                <c:pt idx="2">
                  <c:v>1970</c:v>
                </c:pt>
                <c:pt idx="3">
                  <c:v>1860</c:v>
                </c:pt>
                <c:pt idx="4">
                  <c:v>700</c:v>
                </c:pt>
                <c:pt idx="5">
                  <c:v>550</c:v>
                </c:pt>
                <c:pt idx="6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54-4287-B826-12727B87211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-24"/>
        <c:axId val="1009820768"/>
        <c:axId val="1009824128"/>
      </c:barChart>
      <c:catAx>
        <c:axId val="1009820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9824128"/>
        <c:crosses val="autoZero"/>
        <c:auto val="1"/>
        <c:lblAlgn val="ctr"/>
        <c:lblOffset val="100"/>
        <c:noMultiLvlLbl val="0"/>
      </c:catAx>
      <c:valAx>
        <c:axId val="1009824128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009820768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[LOGISTICA2026.xlsx]CUSTOS!G08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 PEÇAS - CUSTO TRANSPORTADORA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CUSTOS!$Y$4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CUSTOS!$X$5:$X$8</c:f>
              <c:strCache>
                <c:ptCount val="4"/>
                <c:pt idx="0">
                  <c:v>CARGADEDICADA -TR PEÇA</c:v>
                </c:pt>
                <c:pt idx="1">
                  <c:v>ESC -TR PEÇA</c:v>
                </c:pt>
                <c:pt idx="2">
                  <c:v>PRINCESA -TR PEÇA</c:v>
                </c:pt>
                <c:pt idx="3">
                  <c:v>TX LOG -TR PEÇA</c:v>
                </c:pt>
              </c:strCache>
            </c:strRef>
          </c:cat>
          <c:val>
            <c:numRef>
              <c:f>CUSTOS!$Y$5:$Y$8</c:f>
              <c:numCache>
                <c:formatCode>"R$"\ #,##0.00</c:formatCode>
                <c:ptCount val="4"/>
                <c:pt idx="0">
                  <c:v>6190.03</c:v>
                </c:pt>
                <c:pt idx="1">
                  <c:v>5580</c:v>
                </c:pt>
                <c:pt idx="2">
                  <c:v>1342.5900000000001</c:v>
                </c:pt>
                <c:pt idx="3">
                  <c:v>847.8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C6-40B1-8E5E-17997A07FAC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-24"/>
        <c:axId val="1040565520"/>
        <c:axId val="1040551600"/>
      </c:barChart>
      <c:catAx>
        <c:axId val="1040565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40551600"/>
        <c:crosses val="autoZero"/>
        <c:auto val="1"/>
        <c:lblAlgn val="ctr"/>
        <c:lblOffset val="100"/>
        <c:noMultiLvlLbl val="0"/>
      </c:catAx>
      <c:valAx>
        <c:axId val="1040551600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040565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[LOGISTICA2026.xlsx]CUSTOS!Tabela dinâmica11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CUSTOS DAF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FFFFCC"/>
          </a:solidFill>
          <a:ln w="9525" cap="flat" cmpd="sng" algn="ctr">
            <a:solidFill>
              <a:srgbClr val="F2C4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CUSTOS!$AA$4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2C4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CUSTOS!$Z$5:$Z$7</c:f>
              <c:strCache>
                <c:ptCount val="3"/>
                <c:pt idx="0">
                  <c:v>DAF Implemento</c:v>
                </c:pt>
                <c:pt idx="1">
                  <c:v>DAF Multa</c:v>
                </c:pt>
                <c:pt idx="2">
                  <c:v>DAF Manutenção</c:v>
                </c:pt>
              </c:strCache>
            </c:strRef>
          </c:cat>
          <c:val>
            <c:numRef>
              <c:f>CUSTOS!$AA$5:$AA$7</c:f>
              <c:numCache>
                <c:formatCode>"R$"\ #,##0.00</c:formatCode>
                <c:ptCount val="3"/>
                <c:pt idx="0">
                  <c:v>4175</c:v>
                </c:pt>
                <c:pt idx="1">
                  <c:v>250.79000000000002</c:v>
                </c:pt>
                <c:pt idx="2">
                  <c:v>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B7-4358-9B8F-1263253AC5B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662463776"/>
        <c:axId val="1662464256"/>
      </c:barChart>
      <c:catAx>
        <c:axId val="1662463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2464256"/>
        <c:crosses val="autoZero"/>
        <c:auto val="1"/>
        <c:lblAlgn val="ctr"/>
        <c:lblOffset val="100"/>
        <c:noMultiLvlLbl val="0"/>
      </c:catAx>
      <c:valAx>
        <c:axId val="1662464256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662463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[LOGISTICA2026.xlsx]CUSTOS!G10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APROXIMADO DE CUSTOS COM TRANSPORTE VS KM RODADO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lumMod val="110000"/>
                  <a:satMod val="105000"/>
                  <a:tint val="67000"/>
                </a:schemeClr>
              </a:gs>
              <a:gs pos="50000">
                <a:schemeClr val="accent1">
                  <a:lumMod val="105000"/>
                  <a:satMod val="103000"/>
                  <a:tint val="73000"/>
                </a:schemeClr>
              </a:gs>
              <a:gs pos="100000">
                <a:schemeClr val="accent1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FFCC"/>
          </a:solidFill>
          <a:ln w="9525" cap="flat" cmpd="sng" algn="ctr">
            <a:solidFill>
              <a:srgbClr val="F2C4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4011652713358266"/>
          <c:y val="0.2236481734253154"/>
          <c:w val="0.826378264449391"/>
          <c:h val="0.61822412116150016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CUSTOS!$AE$4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CUSTOS!$AD$5:$AD$6</c:f>
              <c:strCache>
                <c:ptCount val="2"/>
                <c:pt idx="0">
                  <c:v>PROPRIO VW</c:v>
                </c:pt>
                <c:pt idx="1">
                  <c:v>PROPRIO DAF</c:v>
                </c:pt>
              </c:strCache>
            </c:strRef>
          </c:cat>
          <c:val>
            <c:numRef>
              <c:f>CUSTOS!$AE$5:$AE$6</c:f>
              <c:numCache>
                <c:formatCode>"R$"\ #,##0.00</c:formatCode>
                <c:ptCount val="2"/>
                <c:pt idx="0">
                  <c:v>15528</c:v>
                </c:pt>
                <c:pt idx="1">
                  <c:v>13966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CB-407E-A589-4EDA6B4B1AE7}"/>
            </c:ext>
          </c:extLst>
        </c:ser>
        <c:ser>
          <c:idx val="2"/>
          <c:order val="1"/>
          <c:tx>
            <c:strRef>
              <c:f>CUSTOS!$AF$4</c:f>
              <c:strCache>
                <c:ptCount val="1"/>
                <c:pt idx="0">
                  <c:v>QTD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CUSTOS!$AD$5:$AD$6</c:f>
              <c:strCache>
                <c:ptCount val="2"/>
                <c:pt idx="0">
                  <c:v>PROPRIO VW</c:v>
                </c:pt>
                <c:pt idx="1">
                  <c:v>PROPRIO DAF</c:v>
                </c:pt>
              </c:strCache>
            </c:strRef>
          </c:cat>
          <c:val>
            <c:numRef>
              <c:f>CUSTOS!$AF$5:$AF$6</c:f>
              <c:numCache>
                <c:formatCode>0</c:formatCode>
                <c:ptCount val="2"/>
                <c:pt idx="0">
                  <c:v>17</c:v>
                </c:pt>
                <c:pt idx="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CB-407E-A589-4EDA6B4B1AE7}"/>
            </c:ext>
          </c:extLst>
        </c:ser>
        <c:ser>
          <c:idx val="1"/>
          <c:order val="2"/>
          <c:tx>
            <c:strRef>
              <c:f>CUSTOS!$AG$4</c:f>
              <c:strCache>
                <c:ptCount val="1"/>
                <c:pt idx="0">
                  <c:v>KMs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2C4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CUSTOS!$AD$5:$AD$6</c:f>
              <c:strCache>
                <c:ptCount val="2"/>
                <c:pt idx="0">
                  <c:v>PROPRIO VW</c:v>
                </c:pt>
                <c:pt idx="1">
                  <c:v>PROPRIO DAF</c:v>
                </c:pt>
              </c:strCache>
            </c:strRef>
          </c:cat>
          <c:val>
            <c:numRef>
              <c:f>CUSTOS!$AG$5:$AG$6</c:f>
              <c:numCache>
                <c:formatCode>0</c:formatCode>
                <c:ptCount val="2"/>
                <c:pt idx="0">
                  <c:v>2588</c:v>
                </c:pt>
                <c:pt idx="1">
                  <c:v>2961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8CB-407E-A589-4EDA6B4B1AE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922358736"/>
        <c:axId val="1922362096"/>
      </c:barChart>
      <c:catAx>
        <c:axId val="19223587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2362096"/>
        <c:crosses val="autoZero"/>
        <c:auto val="1"/>
        <c:lblAlgn val="ctr"/>
        <c:lblOffset val="100"/>
        <c:noMultiLvlLbl val="0"/>
      </c:catAx>
      <c:valAx>
        <c:axId val="1922362096"/>
        <c:scaling>
          <c:orientation val="minMax"/>
        </c:scaling>
        <c:delete val="1"/>
        <c:axPos val="b"/>
        <c:numFmt formatCode="&quot;R$&quot;\ #,##0.00" sourceLinked="1"/>
        <c:majorTickMark val="none"/>
        <c:minorTickMark val="none"/>
        <c:tickLblPos val="nextTo"/>
        <c:crossAx val="192235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42000109845278855"/>
          <c:y val="0.87758904581490993"/>
          <c:w val="0.14053091687011737"/>
          <c:h val="0.1224109726567228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30777290124348433"/>
          <c:y val="0.12963643978378953"/>
          <c:w val="0.40571463282343362"/>
          <c:h val="0.83295044628149495"/>
        </c:manualLayout>
      </c:layout>
      <c:pieChart>
        <c:varyColors val="1"/>
        <c:ser>
          <c:idx val="0"/>
          <c:order val="0"/>
          <c:tx>
            <c:strRef>
              <c:f>CUSTOS!$AL$4</c:f>
              <c:strCache>
                <c:ptCount val="1"/>
                <c:pt idx="0">
                  <c:v>APROVEITAMENTO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9525" cap="flat" cmpd="sng" algn="ctr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4FFD-48DE-9DE7-8FE2D707A97C}"/>
              </c:ext>
            </c:extLst>
          </c:dPt>
          <c:dPt>
            <c:idx val="1"/>
            <c:bubble3D val="0"/>
            <c:spPr>
              <a:solidFill>
                <a:srgbClr val="FFFFCC"/>
              </a:solidFill>
              <a:ln w="9525" cap="flat" cmpd="sng" algn="ctr">
                <a:solidFill>
                  <a:srgbClr val="F2C4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4FFD-48DE-9DE7-8FE2D707A97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1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CUSTOS!$AK$5:$AK$6</c:f>
              <c:strCache>
                <c:ptCount val="2"/>
                <c:pt idx="0">
                  <c:v>PROPRIO VW</c:v>
                </c:pt>
                <c:pt idx="1">
                  <c:v>PROPRIO DAF</c:v>
                </c:pt>
              </c:strCache>
            </c:strRef>
          </c:cat>
          <c:val>
            <c:numRef>
              <c:f>CUSTOS!$AL$5:$AL$6</c:f>
              <c:numCache>
                <c:formatCode>0.00%</c:formatCode>
                <c:ptCount val="2"/>
                <c:pt idx="0">
                  <c:v>0.47573529411764709</c:v>
                </c:pt>
                <c:pt idx="1">
                  <c:v>0.77109375000000002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FD-48DE-9DE7-8FE2D707A97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[LOGISTICA2026.xlsx]CUSTOS!Tabela dinâmica12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CUSTOS VW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CUSTOS!$AC$4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CUSTOS!$AB$5:$AB$8</c:f>
              <c:strCache>
                <c:ptCount val="4"/>
                <c:pt idx="0">
                  <c:v>VW Implemento</c:v>
                </c:pt>
                <c:pt idx="1">
                  <c:v>VW Licença DER AET</c:v>
                </c:pt>
                <c:pt idx="2">
                  <c:v>VW Licença DNIT AET</c:v>
                </c:pt>
                <c:pt idx="3">
                  <c:v>VW Manutenção</c:v>
                </c:pt>
              </c:strCache>
            </c:strRef>
          </c:cat>
          <c:val>
            <c:numRef>
              <c:f>CUSTOS!$AC$5:$AC$8</c:f>
              <c:numCache>
                <c:formatCode>"R$"\ #,##0.00</c:formatCode>
                <c:ptCount val="4"/>
                <c:pt idx="0">
                  <c:v>800.04</c:v>
                </c:pt>
                <c:pt idx="1">
                  <c:v>133.13</c:v>
                </c:pt>
                <c:pt idx="2">
                  <c:v>87.62</c:v>
                </c:pt>
                <c:pt idx="3">
                  <c:v>4853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9B-4404-91DC-8C23BFF26E0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55003136"/>
        <c:axId val="1355008896"/>
      </c:barChart>
      <c:catAx>
        <c:axId val="1355003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5008896"/>
        <c:crosses val="autoZero"/>
        <c:auto val="1"/>
        <c:lblAlgn val="ctr"/>
        <c:lblOffset val="100"/>
        <c:noMultiLvlLbl val="0"/>
      </c:catAx>
      <c:valAx>
        <c:axId val="1355008896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35500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0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0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0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469583</xdr:colOff>
      <xdr:row>0</xdr:row>
      <xdr:rowOff>-1905</xdr:rowOff>
    </xdr:from>
    <xdr:to>
      <xdr:col>45</xdr:col>
      <xdr:colOff>396241</xdr:colOff>
      <xdr:row>42</xdr:row>
      <xdr:rowOff>30480</xdr:rowOff>
    </xdr:to>
    <xdr:grpSp>
      <xdr:nvGrpSpPr>
        <xdr:cNvPr id="16" name="Agrupar 15">
          <a:extLst>
            <a:ext uri="{FF2B5EF4-FFF2-40B4-BE49-F238E27FC236}">
              <a16:creationId xmlns:a16="http://schemas.microsoft.com/office/drawing/2014/main" id="{CCE5EFF0-EA5F-067C-8462-F3AE8D794A10}"/>
            </a:ext>
          </a:extLst>
        </xdr:cNvPr>
        <xdr:cNvGrpSpPr/>
      </xdr:nvGrpSpPr>
      <xdr:grpSpPr>
        <a:xfrm>
          <a:off x="26853833" y="-1905"/>
          <a:ext cx="4060508" cy="6433185"/>
          <a:chOff x="7673477" y="260441"/>
          <a:chExt cx="4526688" cy="7245531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DCEF67CC-63EE-34A1-2196-F5B3E0320CC1}"/>
              </a:ext>
            </a:extLst>
          </xdr:cNvPr>
          <xdr:cNvGraphicFramePr/>
        </xdr:nvGraphicFramePr>
        <xdr:xfrm>
          <a:off x="7676333" y="260441"/>
          <a:ext cx="4485731" cy="159094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Gráfico 3">
            <a:extLst>
              <a:ext uri="{FF2B5EF4-FFF2-40B4-BE49-F238E27FC236}">
                <a16:creationId xmlns:a16="http://schemas.microsoft.com/office/drawing/2014/main" id="{48A3D3CF-60C6-464B-F137-84CD9A2229CB}"/>
              </a:ext>
            </a:extLst>
          </xdr:cNvPr>
          <xdr:cNvGraphicFramePr>
            <a:graphicFrameLocks/>
          </xdr:cNvGraphicFramePr>
        </xdr:nvGraphicFramePr>
        <xdr:xfrm>
          <a:off x="7674429" y="1927588"/>
          <a:ext cx="4487635" cy="201222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5" name="Gráfico 4">
            <a:extLst>
              <a:ext uri="{FF2B5EF4-FFF2-40B4-BE49-F238E27FC236}">
                <a16:creationId xmlns:a16="http://schemas.microsoft.com/office/drawing/2014/main" id="{082B015B-68BD-C77F-7ECB-0FF7D5B80D2E}"/>
              </a:ext>
            </a:extLst>
          </xdr:cNvPr>
          <xdr:cNvGraphicFramePr/>
        </xdr:nvGraphicFramePr>
        <xdr:xfrm>
          <a:off x="7673477" y="4013155"/>
          <a:ext cx="4507638" cy="16827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6" name="Gráfico 5">
            <a:extLst>
              <a:ext uri="{FF2B5EF4-FFF2-40B4-BE49-F238E27FC236}">
                <a16:creationId xmlns:a16="http://schemas.microsoft.com/office/drawing/2014/main" id="{ECB2020C-1E91-40BF-67A8-54CB8C6BEBA6}"/>
              </a:ext>
            </a:extLst>
          </xdr:cNvPr>
          <xdr:cNvGraphicFramePr/>
        </xdr:nvGraphicFramePr>
        <xdr:xfrm>
          <a:off x="7690622" y="5773102"/>
          <a:ext cx="4509543" cy="173287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</xdr:grpSp>
    <xdr:clientData/>
  </xdr:twoCellAnchor>
  <xdr:twoCellAnchor>
    <xdr:from>
      <xdr:col>45</xdr:col>
      <xdr:colOff>460737</xdr:colOff>
      <xdr:row>0</xdr:row>
      <xdr:rowOff>2724</xdr:rowOff>
    </xdr:from>
    <xdr:to>
      <xdr:col>53</xdr:col>
      <xdr:colOff>150520</xdr:colOff>
      <xdr:row>24</xdr:row>
      <xdr:rowOff>85725</xdr:rowOff>
    </xdr:to>
    <xdr:grpSp>
      <xdr:nvGrpSpPr>
        <xdr:cNvPr id="18" name="Agrupar 17">
          <a:extLst>
            <a:ext uri="{FF2B5EF4-FFF2-40B4-BE49-F238E27FC236}">
              <a16:creationId xmlns:a16="http://schemas.microsoft.com/office/drawing/2014/main" id="{A3EA279C-627C-F554-B036-B3D418147378}"/>
            </a:ext>
            <a:ext uri="{147F2762-F138-4A5C-976F-8EAC2B608ADB}">
              <a16:predDERef xmlns:a16="http://schemas.microsoft.com/office/drawing/2014/main" pred="{CCE5EFF0-EA5F-067C-8462-F3AE8D794A10}"/>
            </a:ext>
          </a:extLst>
        </xdr:cNvPr>
        <xdr:cNvGrpSpPr/>
      </xdr:nvGrpSpPr>
      <xdr:grpSpPr>
        <a:xfrm>
          <a:off x="30978837" y="2724"/>
          <a:ext cx="4414183" cy="3740601"/>
          <a:chOff x="12587423" y="261260"/>
          <a:chExt cx="5515001" cy="4215490"/>
        </a:xfrm>
      </xdr:grpSpPr>
      <xdr:graphicFrame macro="">
        <xdr:nvGraphicFramePr>
          <xdr:cNvPr id="7" name="Gráfico 6">
            <a:extLst>
              <a:ext uri="{FF2B5EF4-FFF2-40B4-BE49-F238E27FC236}">
                <a16:creationId xmlns:a16="http://schemas.microsoft.com/office/drawing/2014/main" id="{F8F5B5B6-3E91-AA97-4D80-1A9243120CBD}"/>
              </a:ext>
            </a:extLst>
          </xdr:cNvPr>
          <xdr:cNvGraphicFramePr/>
        </xdr:nvGraphicFramePr>
        <xdr:xfrm>
          <a:off x="12587423" y="261260"/>
          <a:ext cx="2734220" cy="12627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8" name="Gráfico 7">
            <a:extLst>
              <a:ext uri="{FF2B5EF4-FFF2-40B4-BE49-F238E27FC236}">
                <a16:creationId xmlns:a16="http://schemas.microsoft.com/office/drawing/2014/main" id="{F5CC09A0-86FC-98FD-1963-61E376C70FD8}"/>
              </a:ext>
            </a:extLst>
          </xdr:cNvPr>
          <xdr:cNvGraphicFramePr/>
        </xdr:nvGraphicFramePr>
        <xdr:xfrm>
          <a:off x="15356752" y="265069"/>
          <a:ext cx="2745672" cy="12694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ACD099B4-2571-7F63-A761-1FDD0820C85C}"/>
              </a:ext>
            </a:extLst>
          </xdr:cNvPr>
          <xdr:cNvGraphicFramePr/>
        </xdr:nvGraphicFramePr>
        <xdr:xfrm>
          <a:off x="12621440" y="1584961"/>
          <a:ext cx="5476060" cy="139500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graphicFrame macro="">
        <xdr:nvGraphicFramePr>
          <xdr:cNvPr id="10" name="Gráfico 9">
            <a:extLst>
              <a:ext uri="{FF2B5EF4-FFF2-40B4-BE49-F238E27FC236}">
                <a16:creationId xmlns:a16="http://schemas.microsoft.com/office/drawing/2014/main" id="{380F226D-30EE-CE61-6418-3DCDE7FE4524}"/>
              </a:ext>
            </a:extLst>
          </xdr:cNvPr>
          <xdr:cNvGraphicFramePr/>
        </xdr:nvGraphicFramePr>
        <xdr:xfrm>
          <a:off x="12623346" y="3037112"/>
          <a:ext cx="5470343" cy="143963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</xdr:grpSp>
    <xdr:clientData/>
  </xdr:twoCellAnchor>
  <xdr:twoCellAnchor>
    <xdr:from>
      <xdr:col>53</xdr:col>
      <xdr:colOff>226424</xdr:colOff>
      <xdr:row>0</xdr:row>
      <xdr:rowOff>87900</xdr:rowOff>
    </xdr:from>
    <xdr:to>
      <xdr:col>59</xdr:col>
      <xdr:colOff>533400</xdr:colOff>
      <xdr:row>27</xdr:row>
      <xdr:rowOff>69940</xdr:rowOff>
    </xdr:to>
    <xdr:grpSp>
      <xdr:nvGrpSpPr>
        <xdr:cNvPr id="21" name="Agrupar 20">
          <a:extLst>
            <a:ext uri="{FF2B5EF4-FFF2-40B4-BE49-F238E27FC236}">
              <a16:creationId xmlns:a16="http://schemas.microsoft.com/office/drawing/2014/main" id="{E740E736-2074-8AA3-EC8C-76FC02F67DBE}"/>
            </a:ext>
            <a:ext uri="{147F2762-F138-4A5C-976F-8EAC2B608ADB}">
              <a16:predDERef xmlns:a16="http://schemas.microsoft.com/office/drawing/2014/main" pred="{A3EA279C-627C-F554-B036-B3D418147378}"/>
            </a:ext>
          </a:extLst>
        </xdr:cNvPr>
        <xdr:cNvGrpSpPr/>
      </xdr:nvGrpSpPr>
      <xdr:grpSpPr>
        <a:xfrm>
          <a:off x="35468924" y="87900"/>
          <a:ext cx="3850276" cy="4096840"/>
          <a:chOff x="13736684" y="4791345"/>
          <a:chExt cx="4398916" cy="4645480"/>
        </a:xfrm>
      </xdr:grpSpPr>
      <xdr:graphicFrame macro="">
        <xdr:nvGraphicFramePr>
          <xdr:cNvPr id="11" name="Gráfico 10">
            <a:extLst>
              <a:ext uri="{FF2B5EF4-FFF2-40B4-BE49-F238E27FC236}">
                <a16:creationId xmlns:a16="http://schemas.microsoft.com/office/drawing/2014/main" id="{0B38DE67-5968-F7E2-8D5B-98553E1CC0FD}"/>
              </a:ext>
            </a:extLst>
          </xdr:cNvPr>
          <xdr:cNvGraphicFramePr/>
        </xdr:nvGraphicFramePr>
        <xdr:xfrm>
          <a:off x="13736684" y="8376013"/>
          <a:ext cx="2168977" cy="106081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9"/>
          </a:graphicData>
        </a:graphic>
      </xdr:graphicFrame>
      <xdr:graphicFrame macro="">
        <xdr:nvGraphicFramePr>
          <xdr:cNvPr id="12" name="Gráfico 11">
            <a:extLst>
              <a:ext uri="{FF2B5EF4-FFF2-40B4-BE49-F238E27FC236}">
                <a16:creationId xmlns:a16="http://schemas.microsoft.com/office/drawing/2014/main" id="{771DF8BC-D989-43F7-BB02-3F28186F9BE9}"/>
              </a:ext>
            </a:extLst>
          </xdr:cNvPr>
          <xdr:cNvGraphicFramePr/>
        </xdr:nvGraphicFramePr>
        <xdr:xfrm>
          <a:off x="13738587" y="6893380"/>
          <a:ext cx="4385583" cy="144888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0"/>
          </a:graphicData>
        </a:graphic>
      </xdr:graphicFrame>
      <xdr:graphicFrame macro="">
        <xdr:nvGraphicFramePr>
          <xdr:cNvPr id="14" name="Gráfico 13">
            <a:extLst>
              <a:ext uri="{FF2B5EF4-FFF2-40B4-BE49-F238E27FC236}">
                <a16:creationId xmlns:a16="http://schemas.microsoft.com/office/drawing/2014/main" id="{CC1E6A96-3330-4538-3635-509DECF690A9}"/>
              </a:ext>
            </a:extLst>
          </xdr:cNvPr>
          <xdr:cNvGraphicFramePr/>
        </xdr:nvGraphicFramePr>
        <xdr:xfrm>
          <a:off x="13738313" y="4791345"/>
          <a:ext cx="4385856" cy="205468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1"/>
          </a:graphicData>
        </a:graphic>
      </xdr:graphicFrame>
      <xdr:graphicFrame macro="">
        <xdr:nvGraphicFramePr>
          <xdr:cNvPr id="20" name="Gráfico 19">
            <a:extLst>
              <a:ext uri="{FF2B5EF4-FFF2-40B4-BE49-F238E27FC236}">
                <a16:creationId xmlns:a16="http://schemas.microsoft.com/office/drawing/2014/main" id="{EF381437-90A3-176F-65DC-F03866F429A6}"/>
              </a:ext>
            </a:extLst>
          </xdr:cNvPr>
          <xdr:cNvGraphicFramePr/>
        </xdr:nvGraphicFramePr>
        <xdr:xfrm>
          <a:off x="15946481" y="8375740"/>
          <a:ext cx="2189119" cy="105346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85.47192546296" createdVersion="8" refreshedVersion="8" minRefreshableVersion="3" recordCount="126" xr:uid="{3AF7DCA1-06C4-44E7-9752-810589FEE262}">
  <cacheSource type="worksheet">
    <worksheetSource ref="A1:G1048576" sheet="PEDIDO COMPRA"/>
  </cacheSource>
  <cacheFields count="7">
    <cacheField name="TIPO" numFmtId="0">
      <sharedItems containsBlank="1" count="20">
        <s v="DAF Multa"/>
        <s v="VW Licença DER AET"/>
        <s v="Frete Peças T"/>
        <s v="VW Licença DNIT AET"/>
        <s v="Frete Peças M"/>
        <s v="Munck"/>
        <s v="Frete Máq. Trator"/>
        <s v="VW Manutenção"/>
        <s v="Frete Máq. Colheitadeira"/>
        <s v="Frete Máq. Plataforma"/>
        <s v="Frete Máq. Pulverizador"/>
        <s v="DAF Manutenção"/>
        <s v="Frete Máq. Plantadeira"/>
        <s v="VW Implemento"/>
        <s v="DAF Implemento"/>
        <m/>
        <s v="Frete Máq. Carreta" u="1"/>
        <s v="Manutenção VW" u="1"/>
        <s v="Manutenção DAF" u="1"/>
        <s v="Frete Peças" u="1"/>
      </sharedItems>
    </cacheField>
    <cacheField name="FILIAL" numFmtId="0">
      <sharedItems containsBlank="1" count="9">
        <s v="PG"/>
        <s v="ARAPOTI"/>
        <s v="IRATI"/>
        <s v="PRUDE"/>
        <s v="CASTRO"/>
        <s v="GRPVA"/>
        <s v="TIBAGI"/>
        <s v="QUEDAS"/>
        <m/>
      </sharedItems>
    </cacheField>
    <cacheField name="DATA" numFmtId="14">
      <sharedItems containsNonDate="0" containsDate="1" containsString="0" containsBlank="1" minDate="2025-10-25T00:00:00" maxDate="2025-11-22T00:00:00" count="19">
        <d v="2025-11-05T00:00:00"/>
        <d v="2025-11-10T00:00:00"/>
        <d v="2025-11-03T00:00:00"/>
        <d v="2025-11-04T00:00:00"/>
        <d v="2025-11-01T00:00:00"/>
        <d v="2025-11-06T00:00:00"/>
        <d v="2025-11-07T00:00:00"/>
        <d v="2025-11-11T00:00:00"/>
        <d v="2025-11-12T00:00:00"/>
        <d v="2025-11-14T00:00:00"/>
        <d v="2025-10-25T00:00:00"/>
        <d v="2025-10-28T00:00:00"/>
        <d v="2025-11-08T00:00:00"/>
        <d v="2025-11-17T00:00:00"/>
        <d v="2025-11-13T00:00:00"/>
        <d v="2025-11-18T00:00:00"/>
        <d v="2025-11-19T00:00:00"/>
        <d v="2025-11-21T00:00:00"/>
        <m/>
      </sharedItems>
    </cacheField>
    <cacheField name="PDDO" numFmtId="0">
      <sharedItems containsBlank="1"/>
    </cacheField>
    <cacheField name="CÓD" numFmtId="0">
      <sharedItems containsBlank="1"/>
    </cacheField>
    <cacheField name="FORNECEDOR" numFmtId="0">
      <sharedItems containsBlank="1" count="32">
        <s v="DETRAN PR"/>
        <s v="DER - AET VEICULOS"/>
        <s v="ESC -TR PEÇA"/>
        <s v="DNIT"/>
        <s v="ANDREIA R. COURIER"/>
        <s v="TRANSCAPITINGA-TR MAQ"/>
        <s v="DELTA MOTOS COURIER"/>
        <s v="JOHN ELVIS COURIER"/>
        <s v="STOSKI -TR MAQ"/>
        <s v="MARCOS D. COURIER"/>
        <s v="PRINCESA -TR PEÇA"/>
        <s v="UNIBOY COURIER"/>
        <s v="SERIE4 - MT 1"/>
        <s v="ANDREANI - MT"/>
        <s v="JORGE LUIZ 2 COURIER"/>
        <s v="JOSEAMILTON1 COURIER"/>
        <s v="CARGADEDICADA -TR PEÇA"/>
        <s v="TX LOG -TR PEÇA"/>
        <s v="MAZETTO -TR MAQ"/>
        <s v="MONTPAR GUINDASTES"/>
        <s v="LUG -TR MAQ"/>
        <s v="MEGA TRUCK ACESSORIOS - MT"/>
        <s v="AGROMAQ -TR MAQ"/>
        <s v="JAPA MARRERO -TR MAQ"/>
        <s v="MULTISOLDAS E MUNCK"/>
        <s v="GRICZYNSKI -TR MAQ"/>
        <s v="MUNCK IRATI -TR MAQ"/>
        <s v="INCOMESPMUNCK -TR MAQ"/>
        <s v="SUL LONAS - MT"/>
        <s v="ZORTEA -TR MAQ"/>
        <s v="S M MUNCK - TR MAQ"/>
        <m/>
      </sharedItems>
    </cacheField>
    <cacheField name="VALOR" numFmtId="164">
      <sharedItems containsString="0" containsBlank="1" containsNumber="1" minValue="46.32" maxValue="96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85.472590393518" createdVersion="8" refreshedVersion="8" minRefreshableVersion="3" recordCount="101" xr:uid="{1BEA6CE4-72C2-4BDE-AB00-F675E27AC803}">
  <cacheSource type="worksheet">
    <worksheetSource ref="A1:S1048576" sheet="FRETE MAQUINAS"/>
  </cacheSource>
  <cacheFields count="19">
    <cacheField name="STATUS" numFmtId="0">
      <sharedItems containsBlank="1"/>
    </cacheField>
    <cacheField name="FRETE" numFmtId="0">
      <sharedItems containsBlank="1" count="13">
        <s v="TERCEIRO DEMETRIO"/>
        <s v="TERCEIRO MAZETTO"/>
        <s v="TERCEIRO STOSKI"/>
        <s v="PROPRIO VW"/>
        <s v="TERCEIRO NELSON"/>
        <s v="PROPRIO DAF"/>
        <s v="TERCEIRO AGROMAQ"/>
        <s v="TERCEIRO JAPONES"/>
        <s v="TERCEIRO ZORTEA"/>
        <s v="TERCEIRO COLOMBO"/>
        <s v="TERCEIRO VERMELHO"/>
        <s v="NÃO DEFINIDO"/>
        <m/>
      </sharedItems>
    </cacheField>
    <cacheField name="HR" numFmtId="0">
      <sharedItems containsNonDate="0" containsDate="1" containsString="0" containsBlank="1" minDate="1899-12-30T00:33:00" maxDate="1899-12-30T18:19:30"/>
    </cacheField>
    <cacheField name="KM" numFmtId="0">
      <sharedItems containsString="0" containsBlank="1" containsNumber="1" containsInteger="1" minValue="22" maxValue="733"/>
    </cacheField>
    <cacheField name="R$ PROP" numFmtId="164">
      <sharedItems containsString="0" containsBlank="1" containsNumber="1" containsInteger="1" minValue="100" maxValue="2200"/>
    </cacheField>
    <cacheField name="R$ TERC" numFmtId="164">
      <sharedItems containsString="0" containsBlank="1" containsNumber="1" minValue="300" maxValue="9600"/>
    </cacheField>
    <cacheField name="CHASSI" numFmtId="0">
      <sharedItems containsBlank="1"/>
    </cacheField>
    <cacheField name="PREV" numFmtId="0">
      <sharedItems containsNonDate="0" containsDate="1" containsString="0" containsBlank="1" minDate="2025-11-03T00:00:00" maxDate="2025-12-03T00:00:00" count="22">
        <d v="2025-11-03T00:00:00"/>
        <d v="2025-11-04T00:00:00"/>
        <d v="2025-11-05T00:00:00"/>
        <d v="2025-11-06T00:00:00"/>
        <d v="2025-11-07T00:00:00"/>
        <d v="2025-11-11T00:00:00"/>
        <d v="2025-11-12T00:00:00"/>
        <d v="2025-11-13T00:00:00"/>
        <d v="2025-11-14T00:00:00"/>
        <d v="2025-11-17T00:00:00"/>
        <d v="2025-11-18T00:00:00"/>
        <d v="2025-11-19T00:00:00"/>
        <d v="2025-11-21T00:00:00"/>
        <d v="2025-11-22T00:00:00"/>
        <d v="2025-11-24T00:00:00"/>
        <d v="2025-11-25T00:00:00"/>
        <d v="2025-11-26T00:00:00"/>
        <d v="2025-11-27T00:00:00"/>
        <d v="2025-11-28T00:00:00"/>
        <d v="2025-12-02T00:00:00"/>
        <m/>
        <d v="2025-11-20T00:00:00" u="1"/>
      </sharedItems>
    </cacheField>
    <cacheField name="REAL" numFmtId="14">
      <sharedItems containsNonDate="0" containsDate="1" containsString="0" containsBlank="1" minDate="2025-11-03T00:00:00" maxDate="2025-11-25T00:00:00"/>
    </cacheField>
    <cacheField name="CLIENTE/NOTA" numFmtId="0">
      <sharedItems containsBlank="1"/>
    </cacheField>
    <cacheField name="SOLICITANTE" numFmtId="0">
      <sharedItems containsBlank="1"/>
    </cacheField>
    <cacheField name="ESTÁ:" numFmtId="0">
      <sharedItems containsBlank="1"/>
    </cacheField>
    <cacheField name="VAI:" numFmtId="0">
      <sharedItems containsBlank="1"/>
    </cacheField>
    <cacheField name="TIPO" numFmtId="0">
      <sharedItems containsBlank="1"/>
    </cacheField>
    <cacheField name="ESTÁ EM:" numFmtId="0">
      <sharedItems containsBlank="1"/>
    </cacheField>
    <cacheField name="VAI PARA:" numFmtId="0">
      <sharedItems containsBlank="1"/>
    </cacheField>
    <cacheField name="OBS" numFmtId="0">
      <sharedItems containsBlank="1"/>
    </cacheField>
    <cacheField name="FILIAL CUSTOS" numFmtId="0">
      <sharedItems containsBlank="1"/>
    </cacheField>
    <cacheField name="EQUIP" numFmtId="0">
      <sharedItems containsBlank="1" count="7">
        <s v="TRATOR"/>
        <s v="PLATAFORMA"/>
        <s v="COLHEITADEIRA"/>
        <s v="PULVERIZADOR"/>
        <s v="PLANTADEIRA"/>
        <m/>
        <s v="CARRETA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">
  <r>
    <x v="0"/>
    <x v="0"/>
    <x v="0"/>
    <s v="047117"/>
    <s v="078206513"/>
    <x v="0"/>
    <n v="156.18"/>
  </r>
  <r>
    <x v="0"/>
    <x v="0"/>
    <x v="0"/>
    <s v="047117"/>
    <s v="078206513"/>
    <x v="0"/>
    <n v="94.61"/>
  </r>
  <r>
    <x v="1"/>
    <x v="0"/>
    <x v="1"/>
    <s v="047116"/>
    <s v="076669324"/>
    <x v="1"/>
    <n v="133.13"/>
  </r>
  <r>
    <x v="2"/>
    <x v="1"/>
    <x v="2"/>
    <s v="047186"/>
    <s v="027525938"/>
    <x v="2"/>
    <n v="1100"/>
  </r>
  <r>
    <x v="2"/>
    <x v="2"/>
    <x v="2"/>
    <s v="047187"/>
    <s v="027525938"/>
    <x v="2"/>
    <n v="550"/>
  </r>
  <r>
    <x v="2"/>
    <x v="0"/>
    <x v="2"/>
    <s v="047188"/>
    <s v="027525938"/>
    <x v="2"/>
    <n v="600"/>
  </r>
  <r>
    <x v="2"/>
    <x v="3"/>
    <x v="2"/>
    <s v="047189"/>
    <s v="027525938"/>
    <x v="2"/>
    <n v="550"/>
  </r>
  <r>
    <x v="2"/>
    <x v="4"/>
    <x v="2"/>
    <s v="047190"/>
    <s v="027525938"/>
    <x v="2"/>
    <n v="850"/>
  </r>
  <r>
    <x v="2"/>
    <x v="5"/>
    <x v="2"/>
    <s v="047192"/>
    <s v="027525938"/>
    <x v="2"/>
    <n v="1100"/>
  </r>
  <r>
    <x v="2"/>
    <x v="6"/>
    <x v="2"/>
    <s v="047193"/>
    <s v="027525938"/>
    <x v="2"/>
    <n v="830"/>
  </r>
  <r>
    <x v="3"/>
    <x v="0"/>
    <x v="3"/>
    <s v="047178"/>
    <s v="004892707"/>
    <x v="3"/>
    <n v="87.62"/>
  </r>
  <r>
    <x v="4"/>
    <x v="6"/>
    <x v="2"/>
    <s v="047258"/>
    <s v="061196032"/>
    <x v="4"/>
    <n v="200"/>
  </r>
  <r>
    <x v="5"/>
    <x v="1"/>
    <x v="4"/>
    <s v="047315"/>
    <s v="006914002"/>
    <x v="5"/>
    <n v="1000"/>
  </r>
  <r>
    <x v="4"/>
    <x v="6"/>
    <x v="2"/>
    <s v="047247"/>
    <s v="049138592"/>
    <x v="6"/>
    <n v="1210"/>
  </r>
  <r>
    <x v="4"/>
    <x v="3"/>
    <x v="3"/>
    <s v="047199"/>
    <s v="034154225"/>
    <x v="7"/>
    <n v="150"/>
  </r>
  <r>
    <x v="6"/>
    <x v="2"/>
    <x v="3"/>
    <s v="047269"/>
    <s v="032878844"/>
    <x v="8"/>
    <n v="910"/>
  </r>
  <r>
    <x v="4"/>
    <x v="4"/>
    <x v="0"/>
    <s v="047267"/>
    <s v="051496564"/>
    <x v="9"/>
    <n v="520"/>
  </r>
  <r>
    <x v="4"/>
    <x v="5"/>
    <x v="0"/>
    <s v="047268"/>
    <s v="051496564"/>
    <x v="9"/>
    <n v="180"/>
  </r>
  <r>
    <x v="2"/>
    <x v="0"/>
    <x v="0"/>
    <s v="047348"/>
    <s v="080227796"/>
    <x v="10"/>
    <n v="529.48"/>
  </r>
  <r>
    <x v="2"/>
    <x v="0"/>
    <x v="0"/>
    <s v="047348"/>
    <s v="080227796"/>
    <x v="10"/>
    <n v="371.14"/>
  </r>
  <r>
    <x v="4"/>
    <x v="5"/>
    <x v="2"/>
    <s v="047246"/>
    <s v="049138592"/>
    <x v="6"/>
    <n v="550"/>
  </r>
  <r>
    <x v="6"/>
    <x v="1"/>
    <x v="3"/>
    <s v="047315"/>
    <s v="006914002"/>
    <x v="5"/>
    <n v="1295"/>
  </r>
  <r>
    <x v="6"/>
    <x v="1"/>
    <x v="0"/>
    <s v="047315"/>
    <s v="006914002"/>
    <x v="5"/>
    <n v="975"/>
  </r>
  <r>
    <x v="4"/>
    <x v="4"/>
    <x v="5"/>
    <s v="047349"/>
    <s v="012772524"/>
    <x v="11"/>
    <n v="1860"/>
  </r>
  <r>
    <x v="4"/>
    <x v="2"/>
    <x v="2"/>
    <s v="047233"/>
    <s v="049138592"/>
    <x v="6"/>
    <n v="180"/>
  </r>
  <r>
    <x v="4"/>
    <x v="1"/>
    <x v="2"/>
    <s v="047243"/>
    <s v="049138592"/>
    <x v="6"/>
    <n v="990"/>
  </r>
  <r>
    <x v="4"/>
    <x v="3"/>
    <x v="2"/>
    <s v="047244"/>
    <s v="049138592"/>
    <x v="6"/>
    <n v="245"/>
  </r>
  <r>
    <x v="4"/>
    <x v="6"/>
    <x v="3"/>
    <s v="047437"/>
    <s v="061196032"/>
    <x v="4"/>
    <n v="80"/>
  </r>
  <r>
    <x v="4"/>
    <x v="6"/>
    <x v="2"/>
    <s v="047267"/>
    <s v="061196032"/>
    <x v="4"/>
    <n v="200"/>
  </r>
  <r>
    <x v="4"/>
    <x v="0"/>
    <x v="2"/>
    <s v="047249"/>
    <s v="049138592"/>
    <x v="6"/>
    <n v="8245"/>
  </r>
  <r>
    <x v="7"/>
    <x v="0"/>
    <x v="6"/>
    <s v="047383"/>
    <s v="010273940"/>
    <x v="12"/>
    <n v="2780"/>
  </r>
  <r>
    <x v="7"/>
    <x v="0"/>
    <x v="6"/>
    <s v="047383"/>
    <s v="010273940"/>
    <x v="12"/>
    <n v="840"/>
  </r>
  <r>
    <x v="4"/>
    <x v="5"/>
    <x v="3"/>
    <s v="047525"/>
    <s v="051496564"/>
    <x v="9"/>
    <n v="400"/>
  </r>
  <r>
    <x v="7"/>
    <x v="0"/>
    <x v="5"/>
    <s v="047553"/>
    <s v="050435638"/>
    <x v="13"/>
    <n v="500"/>
  </r>
  <r>
    <x v="7"/>
    <x v="0"/>
    <x v="5"/>
    <s v="047553"/>
    <s v="050435638"/>
    <x v="13"/>
    <n v="397"/>
  </r>
  <r>
    <x v="4"/>
    <x v="5"/>
    <x v="6"/>
    <s v="047527"/>
    <s v="051496564"/>
    <x v="9"/>
    <n v="420"/>
  </r>
  <r>
    <x v="4"/>
    <x v="3"/>
    <x v="1"/>
    <s v="047550"/>
    <s v="031370636"/>
    <x v="14"/>
    <n v="700"/>
  </r>
  <r>
    <x v="4"/>
    <x v="5"/>
    <x v="1"/>
    <s v="047525"/>
    <s v="051496564"/>
    <x v="9"/>
    <n v="250"/>
  </r>
  <r>
    <x v="4"/>
    <x v="4"/>
    <x v="7"/>
    <s v="047685"/>
    <s v="059376166"/>
    <x v="15"/>
    <n v="2390"/>
  </r>
  <r>
    <x v="2"/>
    <x v="0"/>
    <x v="6"/>
    <s v="047750"/>
    <s v="080227796"/>
    <x v="10"/>
    <n v="345.91"/>
  </r>
  <r>
    <x v="2"/>
    <x v="0"/>
    <x v="6"/>
    <s v="047750"/>
    <s v="080227796"/>
    <x v="10"/>
    <n v="49.74"/>
  </r>
  <r>
    <x v="2"/>
    <x v="0"/>
    <x v="6"/>
    <s v="047750"/>
    <s v="080227796"/>
    <x v="10"/>
    <n v="46.32"/>
  </r>
  <r>
    <x v="2"/>
    <x v="0"/>
    <x v="1"/>
    <s v="047757"/>
    <s v="056953013"/>
    <x v="16"/>
    <n v="884.29"/>
  </r>
  <r>
    <x v="2"/>
    <x v="0"/>
    <x v="1"/>
    <s v="047757"/>
    <s v="056953013"/>
    <x v="16"/>
    <n v="884.29"/>
  </r>
  <r>
    <x v="2"/>
    <x v="0"/>
    <x v="1"/>
    <s v="047757"/>
    <s v="056953013"/>
    <x v="16"/>
    <n v="884.29"/>
  </r>
  <r>
    <x v="2"/>
    <x v="0"/>
    <x v="1"/>
    <s v="047757"/>
    <s v="056953013"/>
    <x v="16"/>
    <n v="884.29"/>
  </r>
  <r>
    <x v="2"/>
    <x v="0"/>
    <x v="1"/>
    <s v="047757"/>
    <s v="056953013"/>
    <x v="16"/>
    <n v="884.29"/>
  </r>
  <r>
    <x v="2"/>
    <x v="0"/>
    <x v="1"/>
    <s v="047757"/>
    <s v="056953013"/>
    <x v="16"/>
    <n v="884.29"/>
  </r>
  <r>
    <x v="2"/>
    <x v="0"/>
    <x v="1"/>
    <s v="047757"/>
    <s v="056953013"/>
    <x v="16"/>
    <n v="884.29"/>
  </r>
  <r>
    <x v="4"/>
    <x v="6"/>
    <x v="8"/>
    <s v="047687"/>
    <s v="061196032"/>
    <x v="4"/>
    <n v="70"/>
  </r>
  <r>
    <x v="5"/>
    <x v="1"/>
    <x v="9"/>
    <s v="047738"/>
    <s v="006914002"/>
    <x v="5"/>
    <n v="800"/>
  </r>
  <r>
    <x v="2"/>
    <x v="2"/>
    <x v="10"/>
    <s v="047889"/>
    <s v="012154080"/>
    <x v="17"/>
    <n v="52"/>
  </r>
  <r>
    <x v="2"/>
    <x v="3"/>
    <x v="11"/>
    <s v="047900"/>
    <s v="012154080"/>
    <x v="17"/>
    <n v="52"/>
  </r>
  <r>
    <x v="2"/>
    <x v="5"/>
    <x v="4"/>
    <s v="047901"/>
    <s v="012154080"/>
    <x v="17"/>
    <n v="52"/>
  </r>
  <r>
    <x v="8"/>
    <x v="5"/>
    <x v="2"/>
    <s v="047805"/>
    <s v="018725298"/>
    <x v="18"/>
    <n v="650"/>
  </r>
  <r>
    <x v="9"/>
    <x v="5"/>
    <x v="2"/>
    <s v="047805"/>
    <s v="018725298"/>
    <x v="18"/>
    <n v="650"/>
  </r>
  <r>
    <x v="6"/>
    <x v="5"/>
    <x v="2"/>
    <s v="047805"/>
    <s v="018725298"/>
    <x v="18"/>
    <n v="1352"/>
  </r>
  <r>
    <x v="2"/>
    <x v="5"/>
    <x v="3"/>
    <s v="047901"/>
    <s v="012154080"/>
    <x v="17"/>
    <n v="52"/>
  </r>
  <r>
    <x v="6"/>
    <x v="5"/>
    <x v="0"/>
    <s v="047805"/>
    <s v="018725298"/>
    <x v="18"/>
    <n v="1458"/>
  </r>
  <r>
    <x v="2"/>
    <x v="5"/>
    <x v="0"/>
    <s v="047901"/>
    <s v="012154080"/>
    <x v="17"/>
    <n v="119.8"/>
  </r>
  <r>
    <x v="6"/>
    <x v="7"/>
    <x v="6"/>
    <s v="047935"/>
    <s v="018725298"/>
    <x v="18"/>
    <n v="2890"/>
  </r>
  <r>
    <x v="2"/>
    <x v="3"/>
    <x v="12"/>
    <s v="047900"/>
    <s v="012154080"/>
    <x v="17"/>
    <n v="52"/>
  </r>
  <r>
    <x v="2"/>
    <x v="3"/>
    <x v="12"/>
    <s v="047900"/>
    <s v="012154080"/>
    <x v="17"/>
    <n v="52"/>
  </r>
  <r>
    <x v="2"/>
    <x v="2"/>
    <x v="12"/>
    <s v="047902"/>
    <s v="012154080"/>
    <x v="17"/>
    <n v="52"/>
  </r>
  <r>
    <x v="6"/>
    <x v="5"/>
    <x v="7"/>
    <s v="047806"/>
    <s v="018725298"/>
    <x v="18"/>
    <n v="1389"/>
  </r>
  <r>
    <x v="2"/>
    <x v="3"/>
    <x v="7"/>
    <s v="047900"/>
    <s v="012154080"/>
    <x v="17"/>
    <n v="52"/>
  </r>
  <r>
    <x v="2"/>
    <x v="3"/>
    <x v="7"/>
    <s v="047900"/>
    <s v="012154080"/>
    <x v="17"/>
    <n v="52"/>
  </r>
  <r>
    <x v="2"/>
    <x v="2"/>
    <x v="7"/>
    <s v="047902"/>
    <s v="012154080"/>
    <x v="17"/>
    <n v="52"/>
  </r>
  <r>
    <x v="2"/>
    <x v="2"/>
    <x v="7"/>
    <s v="047902"/>
    <s v="012154080"/>
    <x v="17"/>
    <n v="52"/>
  </r>
  <r>
    <x v="5"/>
    <x v="0"/>
    <x v="8"/>
    <s v="047801"/>
    <s v="000495608"/>
    <x v="19"/>
    <n v="440"/>
  </r>
  <r>
    <x v="6"/>
    <x v="4"/>
    <x v="9"/>
    <s v="047804"/>
    <s v="018725298"/>
    <x v="18"/>
    <n v="3662.3"/>
  </r>
  <r>
    <x v="2"/>
    <x v="3"/>
    <x v="9"/>
    <s v="047900"/>
    <s v="012154080"/>
    <x v="17"/>
    <n v="52"/>
  </r>
  <r>
    <x v="2"/>
    <x v="2"/>
    <x v="9"/>
    <s v="047902"/>
    <s v="012154080"/>
    <x v="17"/>
    <n v="52"/>
  </r>
  <r>
    <x v="2"/>
    <x v="2"/>
    <x v="9"/>
    <s v="047902"/>
    <s v="012154080"/>
    <x v="17"/>
    <n v="52"/>
  </r>
  <r>
    <x v="10"/>
    <x v="5"/>
    <x v="13"/>
    <s v="047803"/>
    <s v="006233947"/>
    <x v="20"/>
    <n v="9600"/>
  </r>
  <r>
    <x v="11"/>
    <x v="0"/>
    <x v="0"/>
    <s v="048043"/>
    <s v="037969440"/>
    <x v="21"/>
    <n v="160"/>
  </r>
  <r>
    <x v="6"/>
    <x v="1"/>
    <x v="14"/>
    <s v="047572"/>
    <s v="019320206"/>
    <x v="22"/>
    <n v="1000"/>
  </r>
  <r>
    <x v="8"/>
    <x v="1"/>
    <x v="9"/>
    <s v="047752"/>
    <s v="019320206"/>
    <x v="22"/>
    <n v="800"/>
  </r>
  <r>
    <x v="9"/>
    <x v="1"/>
    <x v="9"/>
    <s v="047752"/>
    <s v="019320206"/>
    <x v="22"/>
    <n v="400"/>
  </r>
  <r>
    <x v="8"/>
    <x v="1"/>
    <x v="9"/>
    <s v="047872"/>
    <s v="061259226"/>
    <x v="23"/>
    <n v="6740"/>
  </r>
  <r>
    <x v="6"/>
    <x v="1"/>
    <x v="13"/>
    <s v="047872"/>
    <s v="061259226"/>
    <x v="23"/>
    <n v="1328"/>
  </r>
  <r>
    <x v="5"/>
    <x v="1"/>
    <x v="13"/>
    <s v="047873"/>
    <s v="033254429"/>
    <x v="24"/>
    <n v="945"/>
  </r>
  <r>
    <x v="12"/>
    <x v="1"/>
    <x v="15"/>
    <s v="047897"/>
    <s v="019320206"/>
    <x v="22"/>
    <n v="2000"/>
  </r>
  <r>
    <x v="5"/>
    <x v="1"/>
    <x v="15"/>
    <s v="047929"/>
    <s v="006914002"/>
    <x v="5"/>
    <n v="650"/>
  </r>
  <r>
    <x v="6"/>
    <x v="5"/>
    <x v="16"/>
    <s v="047933"/>
    <s v="018725298"/>
    <x v="18"/>
    <n v="1753"/>
  </r>
  <r>
    <x v="6"/>
    <x v="5"/>
    <x v="16"/>
    <s v="047933"/>
    <s v="018725298"/>
    <x v="18"/>
    <n v="1196"/>
  </r>
  <r>
    <x v="8"/>
    <x v="5"/>
    <x v="16"/>
    <s v="047933"/>
    <s v="018725298"/>
    <x v="18"/>
    <n v="1373"/>
  </r>
  <r>
    <x v="6"/>
    <x v="1"/>
    <x v="17"/>
    <s v="048040"/>
    <s v="019320206"/>
    <x v="22"/>
    <n v="1624"/>
  </r>
  <r>
    <x v="6"/>
    <x v="2"/>
    <x v="4"/>
    <s v="047552"/>
    <s v="046304055"/>
    <x v="25"/>
    <n v="500"/>
  </r>
  <r>
    <x v="6"/>
    <x v="2"/>
    <x v="4"/>
    <s v="047552"/>
    <s v="046304055"/>
    <x v="25"/>
    <n v="300"/>
  </r>
  <r>
    <x v="6"/>
    <x v="2"/>
    <x v="4"/>
    <s v="047552"/>
    <s v="046304055"/>
    <x v="25"/>
    <n v="300"/>
  </r>
  <r>
    <x v="5"/>
    <x v="2"/>
    <x v="7"/>
    <s v="047573"/>
    <s v="030877442"/>
    <x v="26"/>
    <n v="1262"/>
  </r>
  <r>
    <x v="5"/>
    <x v="5"/>
    <x v="14"/>
    <s v="047758"/>
    <s v="061028125"/>
    <x v="27"/>
    <n v="270"/>
  </r>
  <r>
    <x v="6"/>
    <x v="2"/>
    <x v="9"/>
    <s v="047892"/>
    <s v="046304055"/>
    <x v="25"/>
    <n v="300"/>
  </r>
  <r>
    <x v="6"/>
    <x v="2"/>
    <x v="9"/>
    <s v="047892"/>
    <s v="046304055"/>
    <x v="25"/>
    <n v="450"/>
  </r>
  <r>
    <x v="6"/>
    <x v="3"/>
    <x v="9"/>
    <s v="047893"/>
    <s v="046304055"/>
    <x v="25"/>
    <n v="430"/>
  </r>
  <r>
    <x v="13"/>
    <x v="0"/>
    <x v="9"/>
    <s v="047733"/>
    <s v="037969440"/>
    <x v="21"/>
    <n v="800.04"/>
  </r>
  <r>
    <x v="7"/>
    <x v="0"/>
    <x v="9"/>
    <s v="047800"/>
    <s v="010273940"/>
    <x v="12"/>
    <n v="216"/>
  </r>
  <r>
    <x v="7"/>
    <x v="0"/>
    <x v="9"/>
    <s v="047800"/>
    <s v="010273940"/>
    <x v="12"/>
    <n v="120"/>
  </r>
  <r>
    <x v="14"/>
    <x v="0"/>
    <x v="9"/>
    <s v="047732"/>
    <s v="024586837"/>
    <x v="28"/>
    <n v="4175"/>
  </r>
  <r>
    <x v="8"/>
    <x v="1"/>
    <x v="9"/>
    <s v="047802"/>
    <s v="032603119"/>
    <x v="29"/>
    <n v="3800"/>
  </r>
  <r>
    <x v="9"/>
    <x v="1"/>
    <x v="9"/>
    <s v="047802"/>
    <s v="032603119"/>
    <x v="29"/>
    <n v="1600"/>
  </r>
  <r>
    <x v="4"/>
    <x v="0"/>
    <x v="13"/>
    <s v="047871"/>
    <s v="051496564"/>
    <x v="9"/>
    <n v="200"/>
  </r>
  <r>
    <x v="8"/>
    <x v="1"/>
    <x v="15"/>
    <s v="047895"/>
    <s v="019320206"/>
    <x v="22"/>
    <n v="900"/>
  </r>
  <r>
    <x v="9"/>
    <x v="1"/>
    <x v="15"/>
    <s v="047895"/>
    <s v="019320206"/>
    <x v="22"/>
    <n v="300"/>
  </r>
  <r>
    <x v="6"/>
    <x v="3"/>
    <x v="16"/>
    <s v="047893"/>
    <s v="046304055"/>
    <x v="25"/>
    <n v="550"/>
  </r>
  <r>
    <x v="12"/>
    <x v="1"/>
    <x v="17"/>
    <s v="048045"/>
    <s v="059381286"/>
    <x v="30"/>
    <n v="2900"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m/>
    <x v="31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">
  <r>
    <s v="CONCLUIDO"/>
    <x v="0"/>
    <d v="1899-12-30T02:27:00"/>
    <n v="98"/>
    <m/>
    <n v="300"/>
    <s v="1BM5060ECN4103629"/>
    <x v="0"/>
    <d v="2025-11-03T00:00:00"/>
    <s v="MANUTENÇÃO → CLIENTE"/>
    <s v="daisy.kakol"/>
    <s v="IRATI"/>
    <s v="CLIENTE"/>
    <s v="DE LOJA PARA CLIENTE"/>
    <s v="MPA"/>
    <s v="https://maps.app.goo.gl/MLVchYQrLvQGhWWp6"/>
    <s v="cezar"/>
    <s v="IRATI"/>
    <x v="0"/>
  </r>
  <r>
    <s v="CONCLUIDO"/>
    <x v="0"/>
    <d v="1899-12-30T02:52:30"/>
    <n v="115"/>
    <m/>
    <n v="500"/>
    <s v="1BM5080ECP4111950"/>
    <x v="0"/>
    <d v="2025-11-03T00:00:00"/>
    <s v="MANUTENÇÃO → CLIENTE"/>
    <s v="daisy.kakol"/>
    <s v="IRATI"/>
    <s v="CLIENTE"/>
    <s v="DE LOJA PARA CLIENTE"/>
    <s v="MPA"/>
    <s v="https://maps.app.goo.gl/rYQLkSMERduCoffL8"/>
    <s v="RICARDO DRANKA"/>
    <s v="IRATI"/>
    <x v="0"/>
  </r>
  <r>
    <s v="CONCLUIDO"/>
    <x v="0"/>
    <d v="1899-12-30T02:52:30"/>
    <n v="115"/>
    <m/>
    <n v="300"/>
    <s v="1BM5080EEP4112594"/>
    <x v="0"/>
    <d v="2025-11-03T00:00:00"/>
    <s v="CLIENTE → MANUTENÇÃO"/>
    <s v="daisy.kakol"/>
    <s v="CLIENTE"/>
    <s v="IRATI"/>
    <s v="DE CLIENTE PARA LOJA"/>
    <s v="https://maps.app.goo.gl/MTXwpjxVEM4SBPA46"/>
    <s v="MPA"/>
    <s v="jose"/>
    <s v="IRATI"/>
    <x v="0"/>
  </r>
  <r>
    <s v="CONCLUIDO"/>
    <x v="1"/>
    <d v="1899-12-30T03:45:00"/>
    <n v="150"/>
    <m/>
    <n v="1352"/>
    <s v="1BM5080EPS4204124"/>
    <x v="0"/>
    <d v="2025-11-03T00:00:00"/>
    <s v="LUIZ HENRIQUE GREIN -NF107347 "/>
    <s v="euclides.junior"/>
    <s v="GUARAPUAVA"/>
    <s v="CLIENTE"/>
    <s v="DE LOJA PARA CLIENTE"/>
    <s v="MPA"/>
    <s v="https://maps.app.goo.gl/jZEWqzLvNcpTnRBE8"/>
    <s v="Emerson"/>
    <s v="GUARAPUAVA"/>
    <x v="0"/>
  </r>
  <r>
    <s v="CONCLUIDO"/>
    <x v="1"/>
    <d v="1899-12-30T04:18:00"/>
    <n v="172"/>
    <m/>
    <n v="650"/>
    <s v="1CQFA30AAS0160114"/>
    <x v="0"/>
    <d v="2025-11-03T00:00:00"/>
    <s v="ARNALDO STOCK -NF107847"/>
    <s v="euclides.junior"/>
    <s v="GUARAPUAVA"/>
    <s v="CLIENTE"/>
    <s v="DE LOJA PARA CLIENTE"/>
    <s v="MPA"/>
    <s v="https://maps.app.goo.gl/kFwUPivsMpYS8pGd8"/>
    <s v="Fabio "/>
    <s v="GUARAPUAVA"/>
    <x v="1"/>
  </r>
  <r>
    <s v="CONCLUIDO"/>
    <x v="1"/>
    <d v="1899-12-30T04:18:00"/>
    <n v="172"/>
    <m/>
    <n v="650"/>
    <s v="1CQS760ACS0160134"/>
    <x v="0"/>
    <d v="2025-11-03T00:00:00"/>
    <s v="ARNALDO STOCK -NF107847"/>
    <s v="euclides.junior"/>
    <s v="GUARAPUAVA"/>
    <s v="CLIENTE"/>
    <s v="DE LOJA PARA CLIENTE"/>
    <s v="MPA"/>
    <s v="https://maps.app.goo.gl/Kk5FKYUBPHUbo26P8"/>
    <s v="Fabio "/>
    <s v="GUARAPUAVA"/>
    <x v="2"/>
  </r>
  <r>
    <s v="CONCLUIDO"/>
    <x v="2"/>
    <d v="1899-12-30T01:45:00"/>
    <n v="70"/>
    <m/>
    <n v="910"/>
    <s v="1BM6135MPSH000596"/>
    <x v="0"/>
    <d v="2025-11-03T00:00:00"/>
    <s v="LAURO MIGUEL STRONA -NF76755"/>
    <s v="marcio.jacovossi"/>
    <s v="IRATI"/>
    <s v="CLIENTE"/>
    <s v="DE LOJA PARA CLIENTE"/>
    <s v="MPA"/>
    <s v="https://maps.app.goo.gl/JxzGitfYRrvxzYUL9"/>
    <s v="LAURO MIGUEL STRONA   42 999269190"/>
    <s v="IRATI"/>
    <x v="0"/>
  </r>
  <r>
    <s v="CONCLUIDO"/>
    <x v="3"/>
    <d v="1899-12-30T08:15:00"/>
    <n v="330"/>
    <n v="1980"/>
    <m/>
    <s v="1NW4025MVKF190132"/>
    <x v="1"/>
    <d v="2025-11-04T00:00:00"/>
    <s v="MARLON BONILHA -NF61707"/>
    <s v="edenilson.mattos"/>
    <s v="PONTA GROSSA"/>
    <s v="CLIENTE"/>
    <s v="DE LOJA PARA CLIENTE"/>
    <s v="MPA"/>
    <s v="https://maps.app.goo.gl/F6zwbnVFirHNNuCLA"/>
    <s v="Contato CEN Alison 43.98409-2094"/>
    <s v="PONTA GROSSA"/>
    <x v="3"/>
  </r>
  <r>
    <s v="CONCLUIDO"/>
    <x v="3"/>
    <d v="1899-12-30T01:24:00"/>
    <n v="56"/>
    <n v="336"/>
    <m/>
    <s v="1BM5060EES4201594"/>
    <x v="1"/>
    <d v="2025-11-03T00:00:00"/>
    <s v="JOAQUIM MASCARENHAS -NF278279"/>
    <s v="marcos.ribas"/>
    <s v="PONTA GROSSA"/>
    <s v="CLIENTE"/>
    <s v="DE LOJA PARA CLIENTE"/>
    <s v="MPA"/>
    <s v="https://maps.app.goo.gl/s5tPSxgcuWhSkcKc7"/>
    <s v="PAULO - +55 42 9991-2229 - AVISAR ANGELO PARA ACOMPANHAR"/>
    <s v="PONTA GROSSA"/>
    <x v="0"/>
  </r>
  <r>
    <s v="CONCLUIDO"/>
    <x v="4"/>
    <d v="1899-12-30T04:37:30"/>
    <n v="185"/>
    <m/>
    <n v="1295"/>
    <s v="1BM5060EAP4104558"/>
    <x v="1"/>
    <d v="2025-11-04T00:00:00"/>
    <s v="MANUTENÇÃO → CLIENTE"/>
    <s v="rafael.santos"/>
    <s v="CLIENTE"/>
    <s v="ARAPOTI"/>
    <s v="DE CLIENTE PARA LOJA"/>
    <s v="https://maps.app.goo.gl/PXTmMqoYPtx48Gex6"/>
    <s v="MPA"/>
    <s v="LUCIANO DE FREITAS - 43 99624-6946"/>
    <s v="ARAPOTI"/>
    <x v="0"/>
  </r>
  <r>
    <s v="CONCLUIDO"/>
    <x v="5"/>
    <d v="1899-12-30T01:16:30"/>
    <n v="51"/>
    <n v="306"/>
    <m/>
    <s v="1BM7215CVR3000057"/>
    <x v="2"/>
    <d v="2025-11-06T00:00:00"/>
    <s v="MANUTENÇÃO → CLIENTE"/>
    <s v="marcelo.ferreira"/>
    <s v="PONTA GROSSA"/>
    <s v="CLIENTE"/>
    <s v="DE LOJA PARA CLIENTE"/>
    <s v="MPA"/>
    <s v="https://maps.app.goo.gl/pQZUg9LPg5sgdyLs8"/>
    <s v="GABRIEL - 42 -99972-7464"/>
    <s v="PONTA GROSSA"/>
    <x v="0"/>
  </r>
  <r>
    <s v="CONCLUIDO"/>
    <x v="3"/>
    <d v="1899-12-30T00:33:00"/>
    <n v="22"/>
    <n v="132"/>
    <m/>
    <s v="1P06110DABA021136"/>
    <x v="2"/>
    <d v="2025-11-06T00:00:00"/>
    <s v="MANUTENÇÃO → CLIENTE"/>
    <s v="leonardo.ramos"/>
    <s v="PONTA GROSSA"/>
    <s v="CLIENTE"/>
    <s v="DE LOJA PARA CLIENTE"/>
    <s v="MPA"/>
    <s v="https://maps.app.goo.gl/zzmzdRt4m8WXMVjg9"/>
    <s v="JUNIOR +55 42 8866-3271"/>
    <s v="PONTA GROSSA"/>
    <x v="3"/>
  </r>
  <r>
    <s v="CONCLUIDO"/>
    <x v="1"/>
    <d v="1899-12-30T04:00:00"/>
    <n v="160"/>
    <m/>
    <n v="1458"/>
    <s v="1BM6135MASH000623"/>
    <x v="2"/>
    <d v="2025-11-05T00:00:00"/>
    <s v="VLADEMIR STORTI -NF107917"/>
    <s v="euclides.junior"/>
    <s v="GUARAPUAVA"/>
    <s v="CLIENTE"/>
    <s v="DE LOJA PARA CLIENTE"/>
    <s v="MPA"/>
    <s v="https://maps.app.goo.gl/giUyNXP6omVdANbb6"/>
    <s v="Vladmir"/>
    <s v="GUARAPUAVA"/>
    <x v="0"/>
  </r>
  <r>
    <s v="CONCLUIDO"/>
    <x v="4"/>
    <d v="1899-12-30T03:15:00"/>
    <n v="130"/>
    <m/>
    <n v="975"/>
    <s v="1BM5080EKS4203735"/>
    <x v="2"/>
    <d v="2025-11-05T00:00:00"/>
    <s v="VERIDIANA POSS DE LIMA -NF61217"/>
    <s v="josiane.oliveira"/>
    <s v="ARAPOTI"/>
    <s v="CLIENTE"/>
    <s v="DE LOJA PARA CLIENTE"/>
    <s v="MPA"/>
    <s v="https://maps.app.goo.gl/oLpnxFw9huVdueSf7"/>
    <s v="Veridiana 043984053787 -CEN Alison Russi"/>
    <s v="ARAPOTI"/>
    <x v="0"/>
  </r>
  <r>
    <s v="CONCLUIDO (D)"/>
    <x v="5"/>
    <d v="1899-12-30T03:45:00"/>
    <n v="150"/>
    <n v="500"/>
    <m/>
    <s v="1CQ0630AHR0155127"/>
    <x v="2"/>
    <d v="2025-11-05T00:00:00"/>
    <s v="MARCELO RIBEIRO DE NARDI -NF278794"/>
    <s v="marcos.ribas"/>
    <s v="PONTA GROSSA"/>
    <s v="CLIENTE"/>
    <s v="DE LOJA PARA CLIENTE"/>
    <s v="MPA"/>
    <s v="https://maps.app.goo.gl/2DJawZBMR4yqycss9"/>
    <s v="DANILO - MARCELO "/>
    <s v="PONTA GROSSA"/>
    <x v="1"/>
  </r>
  <r>
    <s v="CONCLUIDO (D)"/>
    <x v="5"/>
    <d v="1899-12-30T03:45:00"/>
    <n v="150"/>
    <n v="500"/>
    <m/>
    <s v="1CQS550AER0155105"/>
    <x v="2"/>
    <d v="2025-11-05T00:00:00"/>
    <s v="MARCELO RIBEIRO DE NARDI -NF278794"/>
    <s v="marcos.ribas"/>
    <s v="PONTA GROSSA"/>
    <s v="CLIENTE"/>
    <s v="DE LOJA PARA CLIENTE"/>
    <s v="MPA"/>
    <s v="https://maps.app.goo.gl/2DJawZBMR4yqycss9"/>
    <s v="DANILO - MARCELO "/>
    <s v="PONTA GROSSA"/>
    <x v="2"/>
  </r>
  <r>
    <s v="CONCLUIDO"/>
    <x v="3"/>
    <d v="1899-12-30T06:07:30"/>
    <n v="245"/>
    <n v="1470"/>
    <m/>
    <s v="1BM6135MCSH000563"/>
    <x v="3"/>
    <d v="2025-11-06T00:00:00"/>
    <s v="WILLEM HENDRIK VAN DE RIET -NF109953"/>
    <s v="fernando.wiesinies"/>
    <s v="IRATI"/>
    <s v="CLIENTE"/>
    <s v="DE LOJA PARA CLIENTE"/>
    <s v="MPA"/>
    <s v="https://maps.app.goo.gl/B5W3gFAkVjKrxcms8"/>
    <s v="(42)999730047 Willen "/>
    <s v="IRATI"/>
    <x v="0"/>
  </r>
  <r>
    <s v="CONCLUIDO"/>
    <x v="5"/>
    <d v="1899-12-30T04:22:30"/>
    <n v="175"/>
    <n v="1050"/>
    <m/>
    <s v="1CQS680ATF0110209"/>
    <x v="4"/>
    <d v="2025-11-08T00:00:00"/>
    <s v="DOUGLAS FANCHIN TAQUES FONSECA -NF278835"/>
    <s v="marcelo.ferreira"/>
    <s v="PONTA GROSSA"/>
    <s v="CLIENTE"/>
    <s v="DE LOJA PARA CLIENTE"/>
    <s v="MPA"/>
    <s v="https://maps.app.goo.gl/GfTKV558G2iXHWmg8"/>
    <s v="VALTINHO 42-99920-3056"/>
    <s v="PONTA GROSSA"/>
    <x v="2"/>
  </r>
  <r>
    <s v="CONCLUIDO"/>
    <x v="5"/>
    <d v="1899-12-30T04:22:30"/>
    <n v="175"/>
    <n v="1050"/>
    <m/>
    <s v="1BM6180JKDD001849"/>
    <x v="4"/>
    <d v="2025-11-07T00:00:00"/>
    <s v="MANUTENÇÃO → CLIENTE"/>
    <s v="gustavo.erdmann"/>
    <s v="PONTA GROSSA"/>
    <s v="CLIENTE"/>
    <s v="DE LOJA PARA CLIENTE"/>
    <s v="MPA"/>
    <s v="https://maps.app.goo.gl/Yk2FrxveQ1BNpLmN8"/>
    <s v="Cassio"/>
    <s v="PONTA GROSSA"/>
    <x v="0"/>
  </r>
  <r>
    <s v="CONCLUIDO"/>
    <x v="1"/>
    <d v="1899-12-30T08:15:00"/>
    <n v="330"/>
    <m/>
    <n v="2890"/>
    <s v="1BM6100JVSD602522"/>
    <x v="4"/>
    <d v="2025-11-07T00:00:00"/>
    <s v="ADILSON KRASSOSKI -NF11620 "/>
    <s v="euclides.junior"/>
    <s v="GUARAPUAVA"/>
    <s v="CLIENTE"/>
    <s v="DE LOJA PARA CLIENTE"/>
    <s v="MPA"/>
    <s v="https://maps.app.goo.gl/nUnfbBeivgDPDFmy6"/>
    <s v="Adilson"/>
    <s v="QUEDAS DO IGUAÇU"/>
    <x v="0"/>
  </r>
  <r>
    <s v="CONCLUIDO"/>
    <x v="5"/>
    <d v="1899-12-30T08:07:30"/>
    <n v="325"/>
    <n v="1950"/>
    <m/>
    <s v="AAAP1112CGS000944"/>
    <x v="5"/>
    <d v="2025-11-11T00:00:00"/>
    <s v="TRANSF -NF000076886"/>
    <s v="marcio.jacovossi"/>
    <s v="IRATI"/>
    <s v="PRUDENTÓPOLIS"/>
    <s v="DE LOJA PARA LOJA"/>
    <s v="MPA"/>
    <s v="MPA"/>
    <s v="N/A"/>
    <s v="IRATI"/>
    <x v="2"/>
  </r>
  <r>
    <s v="CONCLUIDO"/>
    <x v="5"/>
    <d v="1899-12-30T06:22:30"/>
    <n v="255"/>
    <n v="1530"/>
    <m/>
    <s v="1BM5078EHS4200616"/>
    <x v="5"/>
    <d v="2025-11-11T00:00:00"/>
    <s v="TRANSF -NF000076884"/>
    <s v="marcio.jacovossi"/>
    <s v="IRATI"/>
    <s v="PRUDENTÓPOLIS"/>
    <s v="DE LOJA PARA LOJA"/>
    <s v="MPA"/>
    <s v="MPA"/>
    <s v="N/A"/>
    <s v="IRATI"/>
    <x v="0"/>
  </r>
  <r>
    <s v="CONCLUIDO"/>
    <x v="5"/>
    <d v="1899-12-30T06:22:30"/>
    <n v="255"/>
    <n v="1530"/>
    <m/>
    <s v="1BM6150JCSD642412"/>
    <x v="5"/>
    <d v="2025-11-11T00:00:00"/>
    <s v="TRANSF -NF000076884"/>
    <s v="marcio.jacovossi"/>
    <s v="IRATI"/>
    <s v="PRUDENTÓPOLIS"/>
    <s v="DE LOJA PARA LOJA"/>
    <s v="MPA"/>
    <s v="MPA"/>
    <s v="N/A"/>
    <s v="IRATI"/>
    <x v="0"/>
  </r>
  <r>
    <s v="CONCLUIDO"/>
    <x v="5"/>
    <d v="1899-12-30T08:07:30"/>
    <n v="325"/>
    <n v="1950"/>
    <m/>
    <s v="9AGC1007EHS000187"/>
    <x v="5"/>
    <d v="2025-11-11T00:00:00"/>
    <s v="TRANSF -NF000076891"/>
    <s v="marcio.jacovossi"/>
    <s v="IRATI"/>
    <s v="PRUDENTÓPOLIS"/>
    <s v="DE LOJA PARA LOJA"/>
    <s v="MPA"/>
    <s v="MPA"/>
    <s v="N/A"/>
    <s v="IRATI"/>
    <x v="0"/>
  </r>
  <r>
    <s v="CONCLUIDO"/>
    <x v="1"/>
    <d v="1899-12-30T01:57:00"/>
    <n v="78"/>
    <m/>
    <n v="1389"/>
    <s v="1BM6100JESD602123"/>
    <x v="5"/>
    <d v="2025-11-11T00:00:00"/>
    <s v="OSWALDO R BARBOSA -NF107698"/>
    <s v="euclides.junior"/>
    <s v="PRUDENTÓPOLIS"/>
    <s v="CLIENTE"/>
    <s v="DE LOJA PARA CLIENTE"/>
    <s v="MPA"/>
    <s v="https://maps.app.goo.gl/3mYP9KzrASogJS3w9"/>
    <s v="Oswaldo"/>
    <s v="GUARAPUAVA"/>
    <x v="0"/>
  </r>
  <r>
    <s v="CONCLUIDO (D)"/>
    <x v="5"/>
    <d v="1899-12-30T12:30:00"/>
    <n v="500"/>
    <n v="800"/>
    <m/>
    <s v="1CQRD30AVS0160245"/>
    <x v="5"/>
    <d v="2025-11-10T00:00:00"/>
    <s v="DOUGLAS FONSECA -NF 107225"/>
    <s v="marcelo.ferreira"/>
    <s v="GUARAPUAVA"/>
    <s v="CLIENTE"/>
    <s v="DE LOJA PARA DEMONSTRAÇÃO"/>
    <s v="MPA"/>
    <s v="https://maps.app.goo.gl/xyQpe8BG44WqsG1v9"/>
    <s v="N/A"/>
    <s v="GUARAPUAVA"/>
    <x v="1"/>
  </r>
  <r>
    <s v="CONCLUIDO (D)"/>
    <x v="5"/>
    <d v="1899-12-30T12:30:00"/>
    <n v="500"/>
    <n v="2200"/>
    <m/>
    <s v="1CQS550APS0160136"/>
    <x v="5"/>
    <d v="2025-11-10T00:00:00"/>
    <s v="DOUGLAS FONSECA -NF 107225"/>
    <s v="marcelo.ferreira"/>
    <s v="GUARAPUAVA"/>
    <s v="CLIENTE"/>
    <s v="DE LOJA PARA DEMONSTRAÇÃO"/>
    <s v="MPA"/>
    <s v="https://maps.app.goo.gl/xyQpe8BG44WqsG1v9"/>
    <s v="N/A"/>
    <s v="GUARAPUAVA"/>
    <x v="2"/>
  </r>
  <r>
    <s v="CONCLUIDO"/>
    <x v="3"/>
    <d v="1899-12-30T01:25:30"/>
    <n v="57"/>
    <n v="342"/>
    <m/>
    <s v="1BM7230JCPH010913"/>
    <x v="6"/>
    <d v="2025-11-12T00:00:00"/>
    <s v="CLIENTE → MANUTENÇÃO"/>
    <s v="marcelo.ferreira"/>
    <s v="CLIENTE"/>
    <s v="PONTA GROSSA"/>
    <s v="DE CLIENTE PARA LOJA"/>
    <s v="https://maps.app.goo.gl/xb5MkVzoE3pEMvuw8"/>
    <s v="MPA"/>
    <s v="FABIO - 42-99921-1220"/>
    <s v="PONTA GROSSA"/>
    <x v="0"/>
  </r>
  <r>
    <s v="CONCLUIDO"/>
    <x v="5"/>
    <d v="1899-12-30T02:30:00"/>
    <n v="100"/>
    <n v="600"/>
    <m/>
    <s v="1BM7225JCGH004564"/>
    <x v="7"/>
    <d v="2025-11-13T00:00:00"/>
    <s v="CLIENTE → MANUTENÇÃO"/>
    <s v="marcelo.ferreira"/>
    <s v="PONTA GROSSA"/>
    <s v="CLIENTE"/>
    <s v="DE LOJA PARA CLIENTE"/>
    <s v="MPA"/>
    <s v="https://maps.app.goo.gl/TWUFTdA34fB48Hvv8"/>
    <s v="RUBINHO 42- 99972-3850"/>
    <s v="PONTA GROSSA"/>
    <x v="0"/>
  </r>
  <r>
    <s v="CONCLUIDO"/>
    <x v="3"/>
    <d v="1899-12-30T02:37:30"/>
    <n v="105"/>
    <n v="630"/>
    <m/>
    <s v="1BM5060EPS4201602"/>
    <x v="7"/>
    <d v="2025-11-13T00:00:00"/>
    <s v="CARLOS EDINEI KNAUT → MANUTENÇÃO"/>
    <s v="daisy.kakol"/>
    <s v="CLIENTE"/>
    <s v="IRATI"/>
    <s v="DE CLIENTE PARA LOJA"/>
    <s v="https://maps.app.goo.gl/EGGjvMh2LpNr1STk7"/>
    <s v="MPA"/>
    <s v="OFICINA"/>
    <s v="IRATI"/>
    <x v="0"/>
  </r>
  <r>
    <s v="CONCLUIDO"/>
    <x v="3"/>
    <d v="1899-12-30T01:48:00"/>
    <n v="72"/>
    <n v="432"/>
    <m/>
    <s v="1BM5080ECN4109659"/>
    <x v="7"/>
    <d v="2025-11-13T00:00:00"/>
    <s v="ANSELMO WASELECHEN → MANUTENÇÃO"/>
    <s v="daisy.kakol"/>
    <s v="CLIENTE"/>
    <s v="IRATI"/>
    <s v="DE CLIENTE PARA LOJA"/>
    <s v="https://maps.app.goo.gl/fhc785TjS54Vtjgc8"/>
    <s v="MPA"/>
    <s v="OFICINA"/>
    <s v="IRATI"/>
    <x v="0"/>
  </r>
  <r>
    <s v="CONCLUIDO"/>
    <x v="3"/>
    <d v="1899-12-30T02:52:30"/>
    <n v="115"/>
    <n v="690"/>
    <m/>
    <s v="1BM5080EEP4112594"/>
    <x v="7"/>
    <d v="2025-11-13T00:00:00"/>
    <s v="MANUTENÇÃO → JOSE VALCIR MOREIRA DA SILVA"/>
    <s v="daisy.kakol"/>
    <s v="IRATI"/>
    <s v="CLIENTE"/>
    <s v="DE LOJA PARA CLIENTE"/>
    <s v="MPA"/>
    <s v="https://maps.app.goo.gl/u6RQ92AcKr5YZVN5A"/>
    <s v="JOSE VALCIR"/>
    <s v="IRATI"/>
    <x v="0"/>
  </r>
  <r>
    <s v="CONCLUIDO"/>
    <x v="6"/>
    <d v="1899-12-30T02:28:30"/>
    <n v="99"/>
    <m/>
    <n v="1000"/>
    <s v="1XBDN10BHPP000280"/>
    <x v="7"/>
    <d v="2025-11-13T00:00:00"/>
    <s v="MARLON BONILHA -NF61887"/>
    <s v="josiane.oliveira"/>
    <s v="ARAPOTI"/>
    <s v="CLIENTE"/>
    <s v="DE LOJA PARA CLIENTE"/>
    <s v="MPA"/>
    <s v="https://maps.app.goo.gl/w3owGFpERZASWfsU6"/>
    <s v="Marlon Bonilha CEN Alison Russi"/>
    <s v="ARAPOTI"/>
    <x v="0"/>
  </r>
  <r>
    <s v="CONCLUIDO"/>
    <x v="0"/>
    <d v="1899-12-30T02:15:00"/>
    <n v="90"/>
    <m/>
    <n v="430"/>
    <m/>
    <x v="8"/>
    <d v="2025-11-14T00:00:00"/>
    <s v="CLIENTE → MANUTENÇÃO"/>
    <s v="daisy.kakol"/>
    <s v="CLIENTE"/>
    <s v="IRATI"/>
    <s v="DE CLIENTE PARA LOJA"/>
    <s v="CLIENTE"/>
    <s v="MPA"/>
    <m/>
    <s v="PRUDENTOPOLIS"/>
    <x v="0"/>
  </r>
  <r>
    <s v="CONCLUIDO"/>
    <x v="0"/>
    <d v="1899-12-30T02:06:00"/>
    <n v="84"/>
    <m/>
    <n v="450"/>
    <s v="1BM5080EKS4204142"/>
    <x v="8"/>
    <d v="2025-11-14T00:00:00"/>
    <s v="ANDRE J NASCIMENTO -NF76885"/>
    <s v="marcio.jacovossi"/>
    <s v="IRATI"/>
    <s v="CLIENTE"/>
    <s v="DE LOJA PARA CLIENTE"/>
    <s v="MPA"/>
    <s v="https://maps.app.goo.gl/VQtNqdXpX1Nn1Cwt8"/>
    <s v="ANDRÉ  42 920007503"/>
    <s v="IRATI"/>
    <x v="0"/>
  </r>
  <r>
    <s v="CONCLUIDO"/>
    <x v="0"/>
    <d v="1899-12-30T02:39:00"/>
    <n v="106"/>
    <m/>
    <n v="300"/>
    <s v="1BM5080EVS4203951"/>
    <x v="8"/>
    <d v="2025-11-14T00:00:00"/>
    <s v="TIAGO J KOCHINHERKO -NF76887"/>
    <s v="marcio.jacovossi"/>
    <s v="IRATI"/>
    <s v="CLIENTE"/>
    <s v="DE LOJA PARA CLIENTE"/>
    <s v="MPA"/>
    <s v="https://maps.app.goo.gl/z97gB1Y9xEQEsjNf6"/>
    <s v="TIAGO 42 998121951"/>
    <s v="IRATI"/>
    <x v="0"/>
  </r>
  <r>
    <s v="CONCLUIDO"/>
    <x v="7"/>
    <d v="1899-12-30T04:09:00"/>
    <n v="166"/>
    <m/>
    <n v="1328"/>
    <s v="1BM5080EJN4108551"/>
    <x v="8"/>
    <d v="2025-11-14T00:00:00"/>
    <s v="ADILSON P FURTADO -NF?"/>
    <s v="rafael.santos"/>
    <s v="CLIENTE"/>
    <s v="ARAPOTI"/>
    <s v="DE CLIENTE PARA LOJA"/>
    <s v="https://maps.app.goo.gl/tLcmyZnTmDtxQsvb6"/>
    <s v="MPA"/>
    <s v="  ADILSON APARECIDO FURTADO 43 - 99864 - 9233"/>
    <s v="ARAPOTI"/>
    <x v="0"/>
  </r>
  <r>
    <s v="CONCLUIDO"/>
    <x v="1"/>
    <d v="1899-12-30T10:30:00"/>
    <n v="420"/>
    <m/>
    <n v="3662.3"/>
    <s v="1BM6100JCSD602163"/>
    <x v="8"/>
    <d v="2025-11-14T00:00:00"/>
    <s v="RONALDO RABBERS -NF109962"/>
    <s v="fernando.wiesinies"/>
    <s v="GUARAPUAVA"/>
    <s v="CLIENTE"/>
    <s v="DE LOJA PARA CLIENTE"/>
    <s v="MPA"/>
    <s v="https://maps.app.goo.gl/6skd9a23gozJLC8q6?g_st=aw"/>
    <s v="Lucas (42)988040302"/>
    <s v="CASTRO"/>
    <x v="0"/>
  </r>
  <r>
    <s v="CONCLUIDO (D)"/>
    <x v="3"/>
    <d v="1899-12-30T07:39:00"/>
    <n v="306"/>
    <n v="1836"/>
    <m/>
    <s v="1BM5080ETS6204305"/>
    <x v="8"/>
    <d v="2025-11-14T00:00:00"/>
    <s v="SILO DO MALOCA -NF61894"/>
    <s v="josiane.oliveira"/>
    <s v="ARAPOTI"/>
    <s v="CLIENTE"/>
    <s v="DE LOJA PARA DEMONSTRAÇÃO"/>
    <s v="MPA"/>
    <s v="https://maps.app.goo.gl/TYsDXWU4kqkeGb8D6"/>
    <s v="Conexão JD Estática + Jantar - São José da Boa Vista"/>
    <s v="ARAPOTI"/>
    <x v="0"/>
  </r>
  <r>
    <s v="CONCLUIDO (D)"/>
    <x v="3"/>
    <d v="1899-12-30T07:39:00"/>
    <n v="306"/>
    <n v="1836"/>
    <m/>
    <s v="1BM5080EVS4204226"/>
    <x v="8"/>
    <d v="2025-11-14T00:00:00"/>
    <s v="SILO DO MALOCA -NF61894"/>
    <s v="josiane.oliveira"/>
    <s v="ARAPOTI"/>
    <s v="CLIENTE"/>
    <s v="DE LOJA PARA DEMONSTRAÇÃO"/>
    <s v="MPA"/>
    <s v="https://maps.app.goo.gl/TYsDXWU4kqkeGb8D6"/>
    <s v="Conexão JD Estática + Jantar - São José da Boa Vista"/>
    <s v="ARAPOTI"/>
    <x v="0"/>
  </r>
  <r>
    <s v="CONCLUIDO (D)"/>
    <x v="8"/>
    <d v="1899-12-30T11:57:00"/>
    <n v="478"/>
    <m/>
    <n v="1600"/>
    <s v="1CQFA25APS0160156"/>
    <x v="8"/>
    <d v="2025-11-14T00:00:00"/>
    <s v="SILO DO MALOCA -NF61894"/>
    <s v="josiane.oliveira"/>
    <s v="IRATI"/>
    <s v="CLIENTE"/>
    <s v="DE LOJA PARA DEMONSTRAÇÃO"/>
    <s v="MPA"/>
    <s v="https://maps.app.goo.gl/TYsDXWU4kqkeGb8D6"/>
    <s v="Conexão JD Estática + Jantar - São José da Boa Vista"/>
    <s v="ARAPOTI"/>
    <x v="1"/>
  </r>
  <r>
    <s v="CONCLUIDO (D)"/>
    <x v="8"/>
    <d v="1899-12-30T11:57:00"/>
    <n v="478"/>
    <m/>
    <n v="3800"/>
    <s v="1CQS440ACS0155147"/>
    <x v="8"/>
    <d v="2025-11-14T00:00:00"/>
    <s v="SILO DO MALOCA -NF61894"/>
    <s v="josiane.oliveira"/>
    <s v="IRATI"/>
    <s v="CLIENTE"/>
    <s v="DE LOJA PARA DEMONSTRAÇÃO"/>
    <s v="MPA"/>
    <s v="https://maps.app.goo.gl/TYsDXWU4kqkeGb8D6"/>
    <s v="Conexão JD Estática + Jantar - São José da Boa Vista"/>
    <s v="ARAPOTI"/>
    <x v="2"/>
  </r>
  <r>
    <s v="CONCLUIDO (D)"/>
    <x v="3"/>
    <d v="1899-12-30T07:39:00"/>
    <n v="306"/>
    <n v="1836"/>
    <m/>
    <s v="1BM5080ETS6204305"/>
    <x v="9"/>
    <d v="2025-11-17T00:00:00"/>
    <s v="SILO DO MALOCA -NF61894 VOLTA"/>
    <s v="josiane.oliveira"/>
    <s v="ARAPOTI"/>
    <s v="CLIENTE"/>
    <s v="DE LOJA PARA DEMONSTRAÇÃO"/>
    <s v="MPA"/>
    <s v="https://maps.app.goo.gl/TYsDXWU4kqkeGb8D6"/>
    <s v="Conexão JD Estática + Jantar - São José da Boa Vista"/>
    <s v="ARAPOTI"/>
    <x v="0"/>
  </r>
  <r>
    <s v="CONCLUIDO (D)"/>
    <x v="3"/>
    <d v="1899-12-30T07:39:00"/>
    <n v="306"/>
    <n v="1836"/>
    <m/>
    <s v="1BM5080EVS4204226"/>
    <x v="9"/>
    <d v="2025-11-17T00:00:00"/>
    <s v="SILO DO MALOCA -NF61894 VOLTA"/>
    <s v="josiane.oliveira"/>
    <s v="ARAPOTI"/>
    <s v="CLIENTE"/>
    <s v="DE LOJA PARA DEMONSTRAÇÃO"/>
    <s v="MPA"/>
    <s v="https://maps.app.goo.gl/TYsDXWU4kqkeGb8D6"/>
    <s v="Conexão JD Estática + Jantar - São José da Boa Vista"/>
    <s v="ARAPOTI"/>
    <x v="0"/>
  </r>
  <r>
    <s v="CONCLUIDO (D)"/>
    <x v="3"/>
    <d v="1899-12-30T05:00:00"/>
    <n v="200"/>
    <n v="1200"/>
    <m/>
    <s v="1BM7230CVS3001962"/>
    <x v="10"/>
    <d v="2025-11-18T00:00:00"/>
    <s v="FAZENDINHA -NF61895"/>
    <s v="josiane.oliveira"/>
    <s v="CLIENTE"/>
    <s v="CLIENTE"/>
    <s v="DE CLIENTE PARA CLIENTE"/>
    <m/>
    <s v="https://maps.app.goo.gl/HAQzMitpSPVxhKFi9"/>
    <m/>
    <s v="ARAPOTI"/>
    <x v="0"/>
  </r>
  <r>
    <s v="CONCLUIDO"/>
    <x v="9"/>
    <d v="1899-12-30T18:19:30"/>
    <n v="733"/>
    <m/>
    <n v="9600"/>
    <s v="1NW4030MES0250870"/>
    <x v="10"/>
    <d v="2025-11-18T00:00:00"/>
    <s v="VIKTOR LEH -NF107863 - AET ESP+ESCOLTA"/>
    <s v="euclides.junior"/>
    <s v="GUARAPUAVA"/>
    <s v="CLIENTE"/>
    <s v="DE LOJA PARA CLIENTE"/>
    <s v="MPA"/>
    <s v="https://maps.app.goo.gl/CR8ypB1Pd9ZCuWzE6"/>
    <s v="Viktor "/>
    <s v="GUARAPUAVA"/>
    <x v="3"/>
  </r>
  <r>
    <s v="CONCLUIDO (D)"/>
    <x v="6"/>
    <d v="1899-12-30T04:40:30"/>
    <n v="187"/>
    <m/>
    <n v="2000"/>
    <s v="1CQ1213AHS0155196"/>
    <x v="10"/>
    <d v="2025-11-18T00:00:00"/>
    <s v="FAZENDINHA -NF61895"/>
    <s v="josiane.oliveira"/>
    <s v="ARAPOTI"/>
    <s v="CLIENTE"/>
    <s v="DE CLIENTE PARA LOJA"/>
    <s v="MPA"/>
    <s v="https://maps.app.goo.gl/HAQzMitpSPVxhKFi9"/>
    <m/>
    <s v="ARAPOTI"/>
    <x v="4"/>
  </r>
  <r>
    <s v="CONCLUIDO (D)"/>
    <x v="6"/>
    <d v="1899-12-30T11:57:00"/>
    <n v="478"/>
    <m/>
    <n v="300"/>
    <s v="1CQFA25APS0160156"/>
    <x v="10"/>
    <d v="2025-11-18T00:00:00"/>
    <s v="SILO DO MALOCA -NF61894 VOLTA"/>
    <s v="josiane.oliveira"/>
    <s v="IRATI"/>
    <s v="CLIENTE"/>
    <s v="DE LOJA PARA DEMONSTRAÇÃO"/>
    <s v="MPA"/>
    <s v="https://maps.app.goo.gl/TYsDXWU4kqkeGb8D6"/>
    <s v="Conexão JD Estática + Jantar - São José da Boa Vista"/>
    <s v="ARAPOTI"/>
    <x v="1"/>
  </r>
  <r>
    <s v="CONCLUIDO (D)"/>
    <x v="6"/>
    <d v="1899-12-30T11:57:00"/>
    <n v="478"/>
    <m/>
    <n v="900"/>
    <s v="1CQS440ACS0155147"/>
    <x v="10"/>
    <d v="2025-11-18T00:00:00"/>
    <s v="SILO DO MALOCA -NF61894 VOLTA"/>
    <s v="josiane.oliveira"/>
    <s v="IRATI"/>
    <s v="CLIENTE"/>
    <s v="DE LOJA PARA DEMONSTRAÇÃO"/>
    <s v="MPA"/>
    <s v="https://maps.app.goo.gl/TYsDXWU4kqkeGb8D6"/>
    <s v="Conexão JD Estática + Jantar - São José da Boa Vista"/>
    <s v="ARAPOTI"/>
    <x v="2"/>
  </r>
  <r>
    <s v="CONCLUIDO"/>
    <x v="6"/>
    <d v="1899-12-30T00:33:00"/>
    <n v="22"/>
    <m/>
    <n v="400"/>
    <s v="1CQRD30AVS0160116"/>
    <x v="11"/>
    <d v="2025-11-19T00:00:00"/>
    <s v="JAN NOORDEGRAAF NETO -NF61591"/>
    <s v="josiane.oliveira"/>
    <s v="ARAPOTI"/>
    <s v="CLIENTE"/>
    <s v="DE LOJA PARA CLIENTE"/>
    <s v="MPA"/>
    <s v="https://maps.app.goo.gl/w2FYcAi8ZYYfJ88Y8"/>
    <s v="JAN NOORDEGRAAF NETO 042999791942 - CEN PAULO HOPATA"/>
    <s v="ARAPOTI"/>
    <x v="1"/>
  </r>
  <r>
    <s v="CONCLUIDO"/>
    <x v="6"/>
    <d v="1899-12-30T00:33:00"/>
    <n v="22"/>
    <m/>
    <n v="800"/>
    <s v="1CQS550AAS0160130"/>
    <x v="11"/>
    <d v="2025-11-19T00:00:00"/>
    <s v="JAN NOORDEGRAAF NETO -NF61591"/>
    <s v="josiane.oliveira"/>
    <s v="ARAPOTI"/>
    <s v="CLIENTE"/>
    <s v="DE LOJA PARA CLIENTE"/>
    <s v="MPA"/>
    <s v="https://maps.app.goo.gl/w2FYcAi8ZYYfJ88Y8"/>
    <s v="JAN NOORDEGRAAF NETO 042999791942 - CEN PAULO HOPATA"/>
    <s v="ARAPOTI"/>
    <x v="2"/>
  </r>
  <r>
    <s v="CONCLUIDO"/>
    <x v="6"/>
    <d v="1899-12-30T00:33:00"/>
    <n v="22"/>
    <m/>
    <n v="800"/>
    <s v="HCCB251KEKC318677"/>
    <x v="11"/>
    <d v="2025-11-19T00:00:00"/>
    <s v="NOTA DO CLIENTE"/>
    <s v="josiane.oliveira"/>
    <s v="CLIENTE"/>
    <s v="ARAPOTI"/>
    <s v="DE CLIENTE PARA LOJA"/>
    <s v="https://maps.app.goo.gl/w2FYcAi8ZYYfJ88Y8"/>
    <s v="MPA"/>
    <s v="JAN NOORDEGRAAF NETO 43999791942 - CEN PAULO HOPATA"/>
    <s v="ARAPOTI"/>
    <x v="2"/>
  </r>
  <r>
    <s v="CONCLUIDO"/>
    <x v="6"/>
    <d v="1899-12-30T00:33:00"/>
    <n v="22"/>
    <m/>
    <n v="400"/>
    <s v="JHFY3585PKJF12965"/>
    <x v="11"/>
    <d v="2025-11-19T00:00:00"/>
    <s v="NOTA DO CLIENTE"/>
    <s v="josiane.oliveira"/>
    <s v="CLIENTE"/>
    <s v="ARAPOTI"/>
    <s v="DE CLIENTE PARA LOJA"/>
    <s v="https://maps.app.goo.gl/w2FYcAi8ZYYfJ88Y8"/>
    <s v="MPA"/>
    <s v="JAN NOORDEGRAAF NETO 43999791942 - CEN PAULO HOPATA"/>
    <s v="ARAPOTI"/>
    <x v="1"/>
  </r>
  <r>
    <s v="CONCLUIDO"/>
    <x v="1"/>
    <d v="1899-12-30T05:30:00"/>
    <n v="220"/>
    <m/>
    <n v="1753"/>
    <s v="1BM6100JTSD602254"/>
    <x v="11"/>
    <d v="2025-11-19T00:00:00"/>
    <s v="PATRICIA H O HASEGAWA -NF106525"/>
    <s v="euclides.junior"/>
    <s v="GUARAPUAVA"/>
    <s v="CLIENTE"/>
    <s v="DE LOJA PARA CLIENTE"/>
    <s v="MPA"/>
    <s v="https://maps.app.goo.gl/sUh1AADFcu4n8yPE8?g_st=iw"/>
    <s v="Patricia"/>
    <s v="GUARAPUAVA"/>
    <x v="0"/>
  </r>
  <r>
    <s v="CONCLUIDO"/>
    <x v="1"/>
    <d v="1899-12-30T02:15:00"/>
    <n v="90"/>
    <m/>
    <n v="1196"/>
    <s v="1BM6100JCSD602446"/>
    <x v="11"/>
    <d v="2025-11-19T00:00:00"/>
    <s v="BRUNNO F VIOMAR -NF 107324"/>
    <s v="euclides.junior"/>
    <s v="GUARAPUAVA"/>
    <s v="CLIENTE"/>
    <s v="DE LOJA PARA CLIENTE"/>
    <s v="MPA"/>
    <s v="https://maps.app.goo.gl/dMP2u2euHz5GQfGg7"/>
    <s v="Bruno"/>
    <s v="GUARAPUAVA"/>
    <x v="0"/>
  </r>
  <r>
    <s v="CONCLUIDO"/>
    <x v="1"/>
    <d v="1899-12-30T03:03:00"/>
    <n v="122"/>
    <m/>
    <n v="1373"/>
    <s v="Y8C525126"/>
    <x v="11"/>
    <d v="2025-11-19T00:00:00"/>
    <s v="ANDRE MUZZOLON TURCO -NF10833"/>
    <s v="euclides.junior"/>
    <s v="GUARAPUAVA"/>
    <s v="CLIENTE"/>
    <s v="DE LOJA PARA CLIENTE"/>
    <s v="MPA"/>
    <s v="https://maps.app.goo.gl/k8sSRQfK1xFP8eN89"/>
    <s v="Andre"/>
    <s v="GUARAPUAVA"/>
    <x v="2"/>
  </r>
  <r>
    <s v="CONCLUIDO"/>
    <x v="0"/>
    <d v="1899-12-30T03:30:00"/>
    <n v="140"/>
    <m/>
    <n v="550"/>
    <s v="1BM5060EVS4201539"/>
    <x v="11"/>
    <d v="2025-11-19T00:00:00"/>
    <s v="OSMAR DIATCZUK -NF 30883"/>
    <s v="fernando.wiesinies"/>
    <s v="IRATI"/>
    <s v="CLIENTE"/>
    <s v="DE LOJA PARA CLIENTE"/>
    <s v="MPA"/>
    <s v="https://maps.google.com/maps?q=-25.1189094%2C-51.0372015&amp;z=17&amp;hl=pt-BR"/>
    <s v="Osmar (42) 99908-3514"/>
    <s v="PRUDENTOPOLIS"/>
    <x v="0"/>
  </r>
  <r>
    <s v="CONCLUIDO (D)"/>
    <x v="3"/>
    <d v="1899-12-30T01:24:00"/>
    <n v="56"/>
    <n v="336"/>
    <m/>
    <s v="1BM7215CJSH000128"/>
    <x v="11"/>
    <d v="2025-11-19T00:00:00"/>
    <s v="GOLFE CLUB -NF79151"/>
    <s v="carolina.quadros"/>
    <s v="PONTA GROSSA"/>
    <s v="CLIENTE"/>
    <s v="DE LOJA PARA DEMONSTRAÇÃO"/>
    <s v="MPA"/>
    <s v="https://maps.app.goo.gl/nPrR72QZAjPCStGf7"/>
    <s v="Silvana +55 42 9955-7892 (Golf Clube)"/>
    <s v="PONTA GROSSA"/>
    <x v="0"/>
  </r>
  <r>
    <s v="CONCLUIDO (D)"/>
    <x v="3"/>
    <d v="1899-12-30T01:24:00"/>
    <n v="56"/>
    <n v="336"/>
    <m/>
    <s v="1BM6210MPS3001463"/>
    <x v="11"/>
    <d v="2025-11-19T00:00:00"/>
    <s v="GOLFE CLUB -NF79151"/>
    <s v="carolina.quadros"/>
    <s v="PONTA GROSSA"/>
    <s v="CLIENTE"/>
    <s v="DE LOJA PARA DEMONSTRAÇÃO"/>
    <s v="MPA"/>
    <s v="https://maps.app.goo.gl/nPrR72QZAjPCStGf7"/>
    <s v="Silvana +55 42 9955-7892 (Golf Clube)"/>
    <s v="PONTA GROSSA"/>
    <x v="0"/>
  </r>
  <r>
    <s v="CONCLUIDO"/>
    <x v="1"/>
    <d v="1899-12-30T11:52:30"/>
    <n v="475"/>
    <m/>
    <m/>
    <s v="1BM6100JTSD602559"/>
    <x v="12"/>
    <d v="2025-11-21T00:00:00"/>
    <s v="HAROLDO L R FILHO -NF109957"/>
    <s v="fernando.wiesinies"/>
    <s v="GUARAPUAVA"/>
    <s v="CLIENTE"/>
    <s v="DE LOJA PARA CLIENTE"/>
    <s v="MPA"/>
    <s v="https://maps.app.goo.gl/SAQGugLBfo1Uqy2XA?g_st=awb"/>
    <s v="Haroldo (51)99902-8053"/>
    <s v="CASTRO"/>
    <x v="0"/>
  </r>
  <r>
    <s v="CONCLUIDO (D)"/>
    <x v="10"/>
    <d v="1899-12-30T02:03:00"/>
    <n v="82"/>
    <m/>
    <m/>
    <s v="1BM5080EPS6204421"/>
    <x v="13"/>
    <d v="2025-11-22T00:00:00"/>
    <s v="COLONIA ADELAIDE- NÃO TEM NF"/>
    <s v="marcos.ribas"/>
    <s v="PONTA GROSSA"/>
    <s v="CLIENTE"/>
    <s v="DE LOJA PARA DEMONSTRAÇÃO"/>
    <s v="MPA"/>
    <s v="https://maps.app.goo.gl/BxL47zGps2wAbAig9"/>
    <m/>
    <s v="PONTA GROSSA"/>
    <x v="0"/>
  </r>
  <r>
    <s v="CONCLUIDO (D)"/>
    <x v="10"/>
    <d v="1899-12-30T03:45:00"/>
    <n v="150"/>
    <m/>
    <m/>
    <s v="1BM5060EES4201644"/>
    <x v="13"/>
    <d v="2025-11-22T00:00:00"/>
    <s v="Conexão JD -NF279152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CONCLUIDO (D)"/>
    <x v="10"/>
    <d v="1899-12-30T03:45:00"/>
    <n v="150"/>
    <m/>
    <m/>
    <s v="1BM5080ECS4204234"/>
    <x v="13"/>
    <d v="2025-11-22T00:00:00"/>
    <s v="Conexão JD -NF279152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CONCLUIDO (D)"/>
    <x v="10"/>
    <d v="1899-12-30T03:45:00"/>
    <n v="150"/>
    <m/>
    <m/>
    <s v="1BM5080ELS4204066"/>
    <x v="13"/>
    <d v="2025-11-22T00:00:00"/>
    <s v="Conexão JD -NF279152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EM ROTA (D)"/>
    <x v="3"/>
    <d v="1899-12-30T00:37:30"/>
    <n v="25"/>
    <n v="150"/>
    <m/>
    <s v="1BM7215CJSH000128"/>
    <x v="14"/>
    <d v="2025-11-24T00:00:00"/>
    <s v="GOLFE CLUB -NF79151 VOLTA"/>
    <s v="carolina.quadros"/>
    <s v="PONTA GROSSA"/>
    <s v="CLIENTE"/>
    <s v="DE LOJA PARA DEMONSTRAÇÃO"/>
    <s v="MPA"/>
    <s v="https://maps.app.goo.gl/rhzoBgFndL48HhK79"/>
    <s v="DEMO - Golfe Clube *16h00 - Ponta Grossa"/>
    <s v="PONTA GROSSA"/>
    <x v="0"/>
  </r>
  <r>
    <s v="EM ROTA (D)"/>
    <x v="3"/>
    <d v="1899-12-30T00:37:30"/>
    <n v="25"/>
    <n v="150"/>
    <m/>
    <s v="1BM7230CKS3002086"/>
    <x v="14"/>
    <d v="2025-11-24T00:00:00"/>
    <s v="GOLFE CLUB -NF79151 VOLTA"/>
    <s v="carolina.quadros"/>
    <s v="PONTA GROSSA"/>
    <s v="CLIENTE"/>
    <s v="DE LOJA PARA DEMONSTRAÇÃO"/>
    <s v="MPA"/>
    <s v="https://maps.app.goo.gl/rhzoBgFndL48HhK79"/>
    <s v="DEMO - Golfe Clube *16h00 - Ponta Grossa"/>
    <s v="PONTA GROSSA"/>
    <x v="0"/>
  </r>
  <r>
    <s v="EM ROTA"/>
    <x v="4"/>
    <d v="1899-12-30T04:07:30"/>
    <n v="165"/>
    <m/>
    <m/>
    <s v="1BM5060EPS2200929"/>
    <x v="14"/>
    <d v="2025-11-24T00:00:00"/>
    <s v="GERIEL SENE DIVINO -NF??"/>
    <s v="josiane.oliveira"/>
    <s v="ARAPOTI"/>
    <s v="CLIENTE"/>
    <s v="DE LOJA PARA CLIENTE"/>
    <s v="MPA"/>
    <s v="https://maps.app.goo.gl/cy4n8tkKBBwiz9GHA"/>
    <s v="GERIEL 43996186373 - ALISON RUSSI"/>
    <s v="ARAPOTI"/>
    <x v="0"/>
  </r>
  <r>
    <s v="EM ROTA (D)"/>
    <x v="10"/>
    <d v="1899-12-30T03:45:00"/>
    <n v="150"/>
    <m/>
    <m/>
    <s v="1BM5060EES4201644"/>
    <x v="14"/>
    <d v="2025-11-24T00:00:00"/>
    <s v="Conexão JD -NF279152  VOLTA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EM ROTA (D)"/>
    <x v="10"/>
    <d v="1899-12-30T03:45:00"/>
    <n v="150"/>
    <m/>
    <m/>
    <s v="1BM5080ECS4204234"/>
    <x v="14"/>
    <d v="2025-11-24T00:00:00"/>
    <s v="Conexão JD -NF279152  VOLTA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EM ROTA (D)"/>
    <x v="10"/>
    <d v="1899-12-30T03:45:00"/>
    <n v="150"/>
    <m/>
    <m/>
    <s v="1BM5080ELS4204066"/>
    <x v="14"/>
    <d v="2025-11-24T00:00:00"/>
    <s v="Conexão JD -NF279152  VOLTA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EM ROTA (D)"/>
    <x v="10"/>
    <d v="1899-12-30T02:15:00"/>
    <n v="90"/>
    <m/>
    <m/>
    <s v="1BM5060EES4201644"/>
    <x v="14"/>
    <d v="2025-11-24T00:00:00"/>
    <s v="Conexão JD -NF?"/>
    <s v="marcos.ribas"/>
    <s v="PONTA GROSSA"/>
    <s v="CLIENTE"/>
    <s v="DE LOJA PARA DEMONSTRAÇÃO"/>
    <s v="MPA"/>
    <s v="https://maps.app.goo.gl/3soe1M5yfNku9zP88"/>
    <s v="Conexão JD - Estática - Ipiranga "/>
    <s v="PONTA GROSSA"/>
    <x v="0"/>
  </r>
  <r>
    <s v="EM ROTA (D)"/>
    <x v="10"/>
    <d v="1899-12-30T02:15:00"/>
    <n v="90"/>
    <m/>
    <m/>
    <s v="1BM5080ECS4204234"/>
    <x v="14"/>
    <d v="2025-11-24T00:00:00"/>
    <s v="Conexão JD -NF?"/>
    <s v="marcos.ribas"/>
    <s v="PONTA GROSSA"/>
    <s v="CLIENTE"/>
    <s v="DE LOJA PARA DEMONSTRAÇÃO"/>
    <s v="MPA"/>
    <s v="https://maps.app.goo.gl/3soe1M5yfNku9zP88"/>
    <s v="Conexão JD - Estática - Ipiranga "/>
    <s v="PONTA GROSSA"/>
    <x v="0"/>
  </r>
  <r>
    <s v="EM ROTA (D)"/>
    <x v="10"/>
    <d v="1899-12-30T02:15:00"/>
    <n v="90"/>
    <m/>
    <m/>
    <s v="1BM5080ELS4204066"/>
    <x v="14"/>
    <d v="2025-11-24T00:00:00"/>
    <s v="Conexão JD -NF?"/>
    <s v="marcos.ribas"/>
    <s v="PONTA GROSSA"/>
    <s v="CLIENTE"/>
    <s v="DE LOJA PARA DEMONSTRAÇÃO"/>
    <s v="MPA"/>
    <s v="https://maps.app.goo.gl/3soe1M5yfNku9zP88"/>
    <s v="Conexão JD - Estática - Ipiranga "/>
    <s v="PONTA GROSSA"/>
    <x v="0"/>
  </r>
  <r>
    <s v="RECEBIDO (D)"/>
    <x v="11"/>
    <d v="1899-12-30T03:33:00"/>
    <n v="142"/>
    <n v="852"/>
    <m/>
    <s v="1BM5080ETS6204305"/>
    <x v="15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s v="CASTRO"/>
    <x v="0"/>
  </r>
  <r>
    <s v="RECEBIDO (D)"/>
    <x v="11"/>
    <d v="1899-12-30T03:33:00"/>
    <n v="142"/>
    <n v="852"/>
    <m/>
    <s v="1BM5080EVS4204226"/>
    <x v="15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s v="CASTRO"/>
    <x v="0"/>
  </r>
  <r>
    <s v="RECEBIDO (D)"/>
    <x v="11"/>
    <d v="1899-12-30T03:33:00"/>
    <n v="142"/>
    <n v="200"/>
    <m/>
    <s v="1CQFA25ALS0160148"/>
    <x v="15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s v="CASTRO"/>
    <x v="1"/>
  </r>
  <r>
    <s v="RECEBIDO (D)"/>
    <x v="11"/>
    <d v="1899-12-30T03:33:00"/>
    <n v="142"/>
    <n v="800"/>
    <m/>
    <s v="1CQS440AVS0155148"/>
    <x v="15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s v="CASTRO"/>
    <x v="2"/>
  </r>
  <r>
    <s v="RECEBIDO (D)"/>
    <x v="11"/>
    <d v="1899-12-30T05:00:00"/>
    <n v="200"/>
    <n v="1200"/>
    <m/>
    <s v="1BM7230CVS3001962"/>
    <x v="16"/>
    <m/>
    <s v="FAZENDINHA -NF61895  VOLTA"/>
    <s v="josiane.oliveira"/>
    <s v="CLIENTE"/>
    <s v="CLIENTE"/>
    <s v="DE CLIENTE PARA CLIENTE"/>
    <s v="MPA"/>
    <s v="https://maps.app.goo.gl/HAQzMitpSPVxhKFi9"/>
    <m/>
    <s v="ARAPOTI"/>
    <x v="0"/>
  </r>
  <r>
    <s v="RECEBIDO (D)"/>
    <x v="11"/>
    <d v="1899-12-30T04:40:30"/>
    <n v="187"/>
    <n v="1122"/>
    <m/>
    <s v="1CQ1213AHS0155196"/>
    <x v="16"/>
    <m/>
    <s v="FAZENDINHA -NF61895  VOLTA"/>
    <s v="josiane.oliveira"/>
    <s v="ARAPOTI"/>
    <s v="CLIENTE"/>
    <s v="DE CLIENTE PARA LOJA"/>
    <s v="MPA"/>
    <s v="https://maps.app.goo.gl/HAQzMitpSPVxhKFi9"/>
    <m/>
    <s v="ARAPOTI"/>
    <x v="4"/>
  </r>
  <r>
    <s v="RECEBIDO (D)"/>
    <x v="11"/>
    <d v="1899-12-30T07:09:00"/>
    <n v="286"/>
    <n v="1716"/>
    <m/>
    <s v="1BM5080ETS6204305"/>
    <x v="16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s v="TIBAGI"/>
    <x v="0"/>
  </r>
  <r>
    <s v="RECEBIDO (D)"/>
    <x v="11"/>
    <d v="1899-12-30T07:09:00"/>
    <n v="286"/>
    <n v="1716"/>
    <m/>
    <s v="1BM5080EVS4204226"/>
    <x v="16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s v="TIBAGI"/>
    <x v="0"/>
  </r>
  <r>
    <s v="RECEBIDO (D)"/>
    <x v="11"/>
    <d v="1899-12-30T07:09:00"/>
    <n v="286"/>
    <n v="600"/>
    <m/>
    <s v="1CQFA25ALS0160148"/>
    <x v="16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s v="TIBAGI"/>
    <x v="1"/>
  </r>
  <r>
    <s v="RECEBIDO (D)"/>
    <x v="11"/>
    <d v="1899-12-30T07:09:00"/>
    <n v="286"/>
    <n v="1400"/>
    <m/>
    <s v="1CQS440AVS0155148"/>
    <x v="16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s v="TIBAGI"/>
    <x v="2"/>
  </r>
  <r>
    <s v="RECEBIDO (D)"/>
    <x v="11"/>
    <d v="1899-12-30T02:03:00"/>
    <n v="82"/>
    <n v="492"/>
    <m/>
    <s v="1BM5080EPS6204421"/>
    <x v="16"/>
    <m/>
    <s v="COLONIA ADELAIDE- NF ? VOLTA"/>
    <s v="marcos.ribas"/>
    <s v="CLIENTE"/>
    <s v="PONTA GROSSA"/>
    <s v="DE LOJA PARA DEMONSTRAÇÃO"/>
    <s v="https://maps.app.goo.gl/BxL47zGps2wAbAig9"/>
    <s v="MPA"/>
    <m/>
    <s v="PONTA GROSSA"/>
    <x v="0"/>
  </r>
  <r>
    <s v="RECEBIDO (D)"/>
    <x v="11"/>
    <d v="1899-12-30T02:15:00"/>
    <n v="90"/>
    <n v="540"/>
    <m/>
    <s v="1BM5060EES4201644"/>
    <x v="16"/>
    <m/>
    <s v="Conexão JD -NF? VOLTA"/>
    <s v="marcos.ribas"/>
    <s v="CLIENTE"/>
    <s v="PONTA GROSSA"/>
    <s v="DE LOJA PARA DEMONSTRAÇÃO"/>
    <s v="https://maps.app.goo.gl/3soe1M5yfNku9zP88"/>
    <s v="MPA"/>
    <s v="Conexão JD - Estática - Ipiranga "/>
    <s v="PONTA GROSSA"/>
    <x v="0"/>
  </r>
  <r>
    <s v="RECEBIDO (D)"/>
    <x v="11"/>
    <d v="1899-12-30T02:15:00"/>
    <n v="90"/>
    <n v="540"/>
    <m/>
    <s v="1BM5080ECS4204234"/>
    <x v="16"/>
    <m/>
    <s v="Conexão JD -NF? VOLTA"/>
    <s v="marcos.ribas"/>
    <s v="CLIENTE"/>
    <s v="PONTA GROSSA"/>
    <s v="DE LOJA PARA DEMONSTRAÇÃO"/>
    <s v="https://maps.app.goo.gl/3soe1M5yfNku9zP88"/>
    <s v="MPA"/>
    <s v="Conexão JD - Estática - Ipiranga "/>
    <s v="PONTA GROSSA"/>
    <x v="0"/>
  </r>
  <r>
    <s v="RECEBIDO (D)"/>
    <x v="11"/>
    <d v="1899-12-30T02:15:00"/>
    <n v="90"/>
    <n v="540"/>
    <m/>
    <s v="1BM5080ELS4204066"/>
    <x v="16"/>
    <m/>
    <s v="Conexão JD -NF? VOLTA"/>
    <s v="marcos.ribas"/>
    <s v="CLIENTE"/>
    <s v="PONTA GROSSA"/>
    <s v="DE LOJA PARA DEMONSTRAÇÃO"/>
    <s v="https://maps.app.goo.gl/3soe1M5yfNku9zP88"/>
    <s v="MPA"/>
    <s v="Conexão JD - Estática - Ipiranga "/>
    <s v="PONTA GROSSA"/>
    <x v="0"/>
  </r>
  <r>
    <s v="RECEBIDO (D)"/>
    <x v="11"/>
    <d v="1899-12-30T03:45:00"/>
    <n v="150"/>
    <n v="200"/>
    <m/>
    <s v="1CQ0630AHR0155127"/>
    <x v="17"/>
    <m/>
    <s v="MARCELO RIBEIRO NARDI -NF278794  VOLTA"/>
    <s v="marcos.ribas"/>
    <s v="CLIENTE"/>
    <s v="PONTA GROSSA"/>
    <s v="DE CLIENTE PARA LOJA"/>
    <s v="https://maps.app.goo.gl/2DJawZBMR4yqycss9"/>
    <s v="MPA"/>
    <s v="DANILO - MARCELO "/>
    <s v="PONTA GROSSA"/>
    <x v="1"/>
  </r>
  <r>
    <s v="RECEBIDO (D)"/>
    <x v="11"/>
    <d v="1899-12-30T03:45:00"/>
    <n v="150"/>
    <n v="800"/>
    <m/>
    <s v="1CQS550AER0155105"/>
    <x v="17"/>
    <m/>
    <s v="MARCELO RIBEIRO NARDI -NF278794  VOLTA"/>
    <s v="marcos.ribas"/>
    <s v="CLIENTE"/>
    <s v="PONTA GROSSA"/>
    <s v="DE CLIENTE PARA LOJA"/>
    <s v="https://maps.app.goo.gl/2DJawZBMR4yqycss9"/>
    <s v="MPA"/>
    <s v="DANILO - MARCELO "/>
    <s v="PONTA GROSSA"/>
    <x v="2"/>
  </r>
  <r>
    <s v="RECEBIDO (D)"/>
    <x v="11"/>
    <d v="1899-12-30T07:09:00"/>
    <n v="286"/>
    <n v="1716"/>
    <m/>
    <s v="1BM5080ETS6204305"/>
    <x v="17"/>
    <m/>
    <s v="Conexão JD -NF? VOLTA"/>
    <s v="carolina.quadros"/>
    <s v="CLIENTE"/>
    <s v="ARAPOTI"/>
    <s v="DE LOJA PARA DEMONSTRAÇÃO"/>
    <s v="https://maps.app.goo.gl/1TQNr4KwZ3aiboXJ6"/>
    <s v="MPA"/>
    <s v="Conexão JD + Jantar - Ortigueira -Sindicato Rural"/>
    <s v="ARAPOTI"/>
    <x v="0"/>
  </r>
  <r>
    <s v="RECEBIDO (D)"/>
    <x v="11"/>
    <d v="1899-12-30T07:09:00"/>
    <n v="286"/>
    <n v="1716"/>
    <m/>
    <s v="1BM5080EVS4204226"/>
    <x v="17"/>
    <m/>
    <s v="Conexão JD -NF? VOLTA"/>
    <s v="carolina.quadros"/>
    <s v="CLIENTE"/>
    <s v="ARAPOTI"/>
    <s v="DE LOJA PARA DEMONSTRAÇÃO"/>
    <s v="https://maps.app.goo.gl/1TQNr4KwZ3aiboXJ7"/>
    <s v="MPA"/>
    <s v="Conexão JD + Jantar - Ortigueira -Sindicato Rural"/>
    <s v="ARAPOTI"/>
    <x v="0"/>
  </r>
  <r>
    <s v="RECEBIDO (D)"/>
    <x v="11"/>
    <d v="1899-12-30T07:09:00"/>
    <n v="286"/>
    <n v="600"/>
    <m/>
    <s v="1CQFA25ALS0160148"/>
    <x v="17"/>
    <m/>
    <s v="Conexão JD -NF? VOLTA"/>
    <s v="carolina.quadros"/>
    <s v="CLIENTE"/>
    <s v="PONTA GROSSA"/>
    <s v="DE LOJA PARA DEMONSTRAÇÃO"/>
    <s v="https://maps.app.goo.gl/1TQNr4KwZ3aiboXJ8"/>
    <s v="MPA"/>
    <s v="Conexão JD + Jantar - Ortigueira -Sindicato Rural"/>
    <s v="PONTA GROSSA"/>
    <x v="1"/>
  </r>
  <r>
    <s v="RECEBIDO (D)"/>
    <x v="11"/>
    <d v="1899-12-30T07:09:00"/>
    <n v="286"/>
    <n v="1400"/>
    <m/>
    <s v="1CQS440AVS0155148"/>
    <x v="17"/>
    <m/>
    <s v="Conexão JD -NF? VOLTA"/>
    <s v="carolina.quadros"/>
    <s v="CLIENTE"/>
    <s v="PONTA GROSSA"/>
    <s v="DE LOJA PARA DEMONSTRAÇÃO"/>
    <s v="https://maps.app.goo.gl/1TQNr4KwZ3aiboXJ9"/>
    <s v="MPA"/>
    <s v="Conexão JD + Jantar - Ortigueira -Sindicato Rural"/>
    <s v="PONTA GROSSA"/>
    <x v="2"/>
  </r>
  <r>
    <s v="RECEBIDO"/>
    <x v="11"/>
    <d v="1899-12-30T03:52:30"/>
    <n v="155"/>
    <n v="930"/>
    <m/>
    <s v="1BM5080EJS2202873"/>
    <x v="18"/>
    <m/>
    <s v="RICARDO TOREZAN - NF??"/>
    <s v="josiane.oliveira"/>
    <s v="ARAPOTI"/>
    <s v="CLIENTE"/>
    <s v="DE LOJA PARA CLIENTE"/>
    <s v="MPA"/>
    <s v="https://maps.app.goo.gl/LjXYRPEnMre3jJkVA"/>
    <s v="Alison Russi +55 43 8409-2094"/>
    <s v="ARAPOTI"/>
    <x v="0"/>
  </r>
  <r>
    <s v="SUSPENSO"/>
    <x v="11"/>
    <d v="1899-12-30T00:40:30"/>
    <n v="27"/>
    <n v="100"/>
    <m/>
    <s v="1CQFA25ALS0160148"/>
    <x v="19"/>
    <m/>
    <s v="SITIO SÃO JOÃO -NF279149"/>
    <s v="carolina.quadros"/>
    <s v="PONTA GROSSA"/>
    <s v="CLIENTE"/>
    <s v="DE LOJA PARA DEMONSTRAÇÃO"/>
    <s v="MPA"/>
    <s v="https://maps.app.goo.gl/Pdqbe6rfdzAyjWvL8"/>
    <s v="Demonstração + Dia de Campo - Ponta Grossa"/>
    <s v="PONTA GROSSA"/>
    <x v="1"/>
  </r>
  <r>
    <s v="SUSPENSO"/>
    <x v="11"/>
    <d v="1899-12-30T00:40:30"/>
    <n v="27"/>
    <n v="200"/>
    <m/>
    <s v="1CQS440AVS0155148"/>
    <x v="19"/>
    <m/>
    <s v="SITIO SÃO JOÃO -NF279149"/>
    <s v="carolina.quadros"/>
    <s v="PONTA GROSSA"/>
    <s v="CLIENTE"/>
    <s v="DE LOJA PARA DEMONSTRAÇÃO"/>
    <s v="MPA"/>
    <s v="https://maps.app.goo.gl/Pdqbe6rfdzAyjWvL8"/>
    <s v="Demonstração + Dia de Campo - Ponta Grossa"/>
    <s v="PONTA GROSSA"/>
    <x v="2"/>
  </r>
  <r>
    <s v="SUSPENSO"/>
    <x v="11"/>
    <d v="1899-12-30T02:34:30"/>
    <n v="103"/>
    <n v="618"/>
    <m/>
    <s v="1BM5080EVS6204327"/>
    <x v="19"/>
    <m/>
    <s v="MARIA BORKOSKI -NF278379"/>
    <s v="marcos.ribas"/>
    <s v="PONTA GROSSA"/>
    <s v="CLIENTE"/>
    <s v="DE LOJA PARA CLIENTE"/>
    <s v="MPA"/>
    <s v="https://maps.app.goo.gl/pz4jP4cRzqhcm3mP6"/>
    <s v="GERALDO - GABRIEL - AVISAR CLEBER PARA ACOMPANHAR"/>
    <s v="PONTA GROSSA"/>
    <x v="0"/>
  </r>
  <r>
    <s v="SUSPENSO"/>
    <x v="11"/>
    <d v="1899-12-30T02:34:30"/>
    <n v="103"/>
    <n v="618"/>
    <m/>
    <s v="1BM5080EVS6204375"/>
    <x v="19"/>
    <m/>
    <s v="CARLA BORKOSKI -NF278340"/>
    <s v="marcos.ribas"/>
    <s v="PONTA GROSSA"/>
    <s v="CLIENTE"/>
    <s v="DE LOJA PARA CLIENTE"/>
    <s v="MPA"/>
    <s v="https://maps.app.goo.gl/pz4jP4cRzqhcm3mP6"/>
    <s v="GERALDO - GABRIEL - AVISAR CLEBER PARA ACOMPANHAR"/>
    <s v="PONTA GROSSA"/>
    <x v="0"/>
  </r>
  <r>
    <s v="SUSPENSO"/>
    <x v="11"/>
    <d v="1899-12-30T03:30:00"/>
    <n v="140"/>
    <n v="200"/>
    <m/>
    <s v="1CQFA25AES0160153"/>
    <x v="19"/>
    <m/>
    <s v="MARCELO RIBEIRO DE NARDI -NF"/>
    <s v="marcos.ribas"/>
    <s v="PONTA GROSSA"/>
    <s v="CLIENTE"/>
    <s v="DE LOJA PARA CLIENTE"/>
    <s v="MPA"/>
    <s v="https://maps.app.goo.gl/a7As7SRaDnZSRB6c6"/>
    <s v="DANILO - AVISAR ROITEMAN PARA ACOMPANHAR"/>
    <s v="PONTA GROSSA"/>
    <x v="1"/>
  </r>
  <r>
    <s v="SUSPENSO"/>
    <x v="11"/>
    <d v="1899-12-30T03:30:00"/>
    <n v="140"/>
    <n v="800"/>
    <m/>
    <s v="1CQS440AES0155172"/>
    <x v="19"/>
    <m/>
    <s v="MARCELO RIBEIRO DE NARDI -NF"/>
    <s v="marcos.ribas"/>
    <s v="PONTA GROSSA"/>
    <s v="CLIENTE"/>
    <s v="DE LOJA PARA CLIENTE"/>
    <s v="MPA"/>
    <s v="https://maps.app.goo.gl/a7As7SRaDnZSRB6c6"/>
    <s v="DANILO - AVISAR ROITEMAN PARA ACOMPANHAR"/>
    <s v="PONTA GROSSA"/>
    <x v="2"/>
  </r>
  <r>
    <m/>
    <x v="12"/>
    <m/>
    <m/>
    <m/>
    <m/>
    <m/>
    <x v="20"/>
    <m/>
    <m/>
    <m/>
    <m/>
    <m/>
    <m/>
    <m/>
    <m/>
    <m/>
    <m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71FDF9-5557-4E2A-A9EC-52DCA452CFB0}" name="Tabela dinâmica12" cacheId="74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6" rowHeaderCaption="MOTOBOY">
  <location ref="AB4:AC8" firstHeaderRow="1" firstDataRow="1" firstDataCol="1" rowPageCount="1" colPageCount="1"/>
  <pivotFields count="7">
    <pivotField axis="axisRow" multipleItemSelectionAllowed="1" showAll="0">
      <items count="21">
        <item h="1" x="14"/>
        <item h="1" x="0"/>
        <item h="1" m="1" x="16"/>
        <item h="1" x="8"/>
        <item h="1" x="12"/>
        <item h="1" x="9"/>
        <item h="1" x="10"/>
        <item h="1" x="6"/>
        <item h="1" m="1" x="19"/>
        <item h="1" x="4"/>
        <item h="1" x="2"/>
        <item h="1" m="1" x="18"/>
        <item m="1" x="17"/>
        <item h="1" x="5"/>
        <item x="13"/>
        <item x="1"/>
        <item x="3"/>
        <item x="7"/>
        <item h="1" x="15"/>
        <item h="1" x="11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4"/>
        <item x="9"/>
        <item x="13"/>
        <item x="15"/>
        <item x="16"/>
        <item x="18"/>
        <item x="11"/>
        <item x="12"/>
        <item x="17"/>
        <item t="default"/>
      </items>
    </pivotField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4">
    <i>
      <x v="14"/>
    </i>
    <i>
      <x v="15"/>
    </i>
    <i>
      <x v="16"/>
    </i>
    <i>
      <x v="17"/>
    </i>
  </rowItems>
  <colItems count="1">
    <i/>
  </colItems>
  <pageFields count="1">
    <pageField fld="2" hier="-1"/>
  </pageFields>
  <dataFields count="1">
    <dataField name="R$" fld="6" baseField="0" baseItem="0" numFmtId="164"/>
  </dataFields>
  <formats count="36">
    <format dxfId="1094">
      <pivotArea outline="0" collapsedLevelsAreSubtotals="1" fieldPosition="0"/>
    </format>
    <format dxfId="1095">
      <pivotArea dataOnly="0" labelOnly="1" outline="0" axis="axisValues" fieldPosition="0"/>
    </format>
    <format dxfId="1096">
      <pivotArea type="all" dataOnly="0" outline="0" fieldPosition="0"/>
    </format>
    <format dxfId="1097">
      <pivotArea outline="0" collapsedLevelsAreSubtotals="1" fieldPosition="0"/>
    </format>
    <format dxfId="1098">
      <pivotArea field="0" type="button" dataOnly="0" labelOnly="1" outline="0" axis="axisRow" fieldPosition="0"/>
    </format>
    <format dxfId="1099">
      <pivotArea dataOnly="0" labelOnly="1" fieldPosition="0">
        <references count="1">
          <reference field="0" count="0"/>
        </references>
      </pivotArea>
    </format>
    <format dxfId="1100">
      <pivotArea dataOnly="0" labelOnly="1" grandRow="1" outline="0" fieldPosition="0"/>
    </format>
    <format dxfId="1101">
      <pivotArea dataOnly="0" labelOnly="1" outline="0" axis="axisValues" fieldPosition="0"/>
    </format>
    <format dxfId="1102">
      <pivotArea type="all" dataOnly="0" outline="0" fieldPosition="0"/>
    </format>
    <format dxfId="1103">
      <pivotArea outline="0" collapsedLevelsAreSubtotals="1" fieldPosition="0"/>
    </format>
    <format dxfId="1104">
      <pivotArea field="0" type="button" dataOnly="0" labelOnly="1" outline="0" axis="axisRow" fieldPosition="0"/>
    </format>
    <format dxfId="1105">
      <pivotArea dataOnly="0" labelOnly="1" fieldPosition="0">
        <references count="1">
          <reference field="0" count="0"/>
        </references>
      </pivotArea>
    </format>
    <format dxfId="1106">
      <pivotArea dataOnly="0" labelOnly="1" grandRow="1" outline="0" fieldPosition="0"/>
    </format>
    <format dxfId="1107">
      <pivotArea dataOnly="0" labelOnly="1" outline="0" axis="axisValues" fieldPosition="0"/>
    </format>
    <format dxfId="1108">
      <pivotArea type="all" dataOnly="0" outline="0" fieldPosition="0"/>
    </format>
    <format dxfId="1109">
      <pivotArea outline="0" collapsedLevelsAreSubtotals="1" fieldPosition="0"/>
    </format>
    <format dxfId="1110">
      <pivotArea field="0" type="button" dataOnly="0" labelOnly="1" outline="0" axis="axisRow" fieldPosition="0"/>
    </format>
    <format dxfId="1111">
      <pivotArea dataOnly="0" labelOnly="1" fieldPosition="0">
        <references count="1">
          <reference field="0" count="0"/>
        </references>
      </pivotArea>
    </format>
    <format dxfId="1112">
      <pivotArea dataOnly="0" labelOnly="1" grandRow="1" outline="0" fieldPosition="0"/>
    </format>
    <format dxfId="1113">
      <pivotArea dataOnly="0" labelOnly="1" outline="0" axis="axisValues" fieldPosition="0"/>
    </format>
    <format dxfId="1114">
      <pivotArea type="all" dataOnly="0" outline="0" fieldPosition="0"/>
    </format>
    <format dxfId="1115">
      <pivotArea outline="0" collapsedLevelsAreSubtotals="1" fieldPosition="0"/>
    </format>
    <format dxfId="1116">
      <pivotArea dataOnly="0" labelOnly="1" fieldPosition="0">
        <references count="1">
          <reference field="0" count="0"/>
        </references>
      </pivotArea>
    </format>
    <format dxfId="1117">
      <pivotArea dataOnly="0" labelOnly="1" grandRow="1" outline="0" fieldPosition="0"/>
    </format>
    <format dxfId="1118">
      <pivotArea field="0" type="button" dataOnly="0" labelOnly="1" outline="0" axis="axisRow" fieldPosition="0"/>
    </format>
    <format dxfId="1119">
      <pivotArea dataOnly="0" labelOnly="1" outline="0" axis="axisValues" fieldPosition="0"/>
    </format>
    <format dxfId="1120">
      <pivotArea type="all" dataOnly="0" outline="0" fieldPosition="0"/>
    </format>
    <format dxfId="1121">
      <pivotArea outline="0" collapsedLevelsAreSubtotals="1" fieldPosition="0"/>
    </format>
    <format dxfId="1122">
      <pivotArea field="0" type="button" dataOnly="0" labelOnly="1" outline="0" axis="axisRow" fieldPosition="0"/>
    </format>
    <format dxfId="1123">
      <pivotArea dataOnly="0" labelOnly="1" fieldPosition="0">
        <references count="1">
          <reference field="0" count="0"/>
        </references>
      </pivotArea>
    </format>
    <format dxfId="1124">
      <pivotArea dataOnly="0" labelOnly="1" outline="0" axis="axisValues" fieldPosition="0"/>
    </format>
    <format dxfId="1125">
      <pivotArea type="all" dataOnly="0" outline="0" fieldPosition="0"/>
    </format>
    <format dxfId="1126">
      <pivotArea outline="0" collapsedLevelsAreSubtotals="1" fieldPosition="0"/>
    </format>
    <format dxfId="1127">
      <pivotArea field="0" type="button" dataOnly="0" labelOnly="1" outline="0" axis="axisRow" fieldPosition="0"/>
    </format>
    <format dxfId="1128">
      <pivotArea dataOnly="0" labelOnly="1" fieldPosition="0">
        <references count="1">
          <reference field="0" count="0"/>
        </references>
      </pivotArea>
    </format>
    <format dxfId="1129">
      <pivotArea dataOnly="0" labelOnly="1" outline="0" axis="axisValues" fieldPosition="0"/>
    </format>
  </format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E0E128-FC42-49E9-98E7-BEE2E5408196}" name="Tabela dinâmica6" cacheId="753" dataPosition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9" colHeaderCaption=".">
  <location ref="I24:L29" firstHeaderRow="0" firstDataRow="1" firstDataCol="1" rowPageCount="1" colPageCount="1"/>
  <pivotFields count="19"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axis="axisPage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21"/>
        <item x="12"/>
        <item x="13"/>
        <item x="14"/>
        <item x="15"/>
        <item x="16"/>
        <item x="18"/>
        <item x="20"/>
        <item x="17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Row" dataField="1" showAll="0" sortType="descending" defaultSubtotal="0">
      <items count="7">
        <item m="1" x="6"/>
        <item x="2"/>
        <item x="4"/>
        <item x="1"/>
        <item x="3"/>
        <item x="0"/>
        <item h="1" x="5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1">
    <field x="18"/>
  </rowFields>
  <rowItems count="5">
    <i>
      <x v="5"/>
    </i>
    <i>
      <x v="4"/>
    </i>
    <i>
      <x v="1"/>
    </i>
    <i>
      <x v="3"/>
    </i>
    <i>
      <x v="2"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Soma Proprio" fld="4" baseField="18" baseItem="0"/>
    <dataField name="Soma Terceiro" fld="5" baseField="18" baseItem="0"/>
    <dataField name="Qtd Frete" fld="18" subtotal="count" baseField="0" baseItem="0"/>
  </dataFields>
  <formats count="57">
    <format dxfId="1037">
      <pivotArea type="all" dataOnly="0" outline="0" fieldPosition="0"/>
    </format>
    <format dxfId="1038">
      <pivotArea outline="0" collapsedLevelsAreSubtotals="1" fieldPosition="0"/>
    </format>
    <format dxfId="1039">
      <pivotArea type="origin" dataOnly="0" labelOnly="1" outline="0" fieldPosition="0"/>
    </format>
    <format dxfId="1040">
      <pivotArea field="18" type="button" dataOnly="0" labelOnly="1" outline="0" axis="axisRow" fieldPosition="0"/>
    </format>
    <format dxfId="1041">
      <pivotArea type="topRight" dataOnly="0" labelOnly="1" outline="0" fieldPosition="0"/>
    </format>
    <format dxfId="1042">
      <pivotArea field="-2" type="button" dataOnly="0" labelOnly="1" outline="0" axis="axisCol" fieldPosition="0"/>
    </format>
    <format dxfId="104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44">
      <pivotArea dataOnly="0" labelOnly="1" fieldPosition="0">
        <references count="1">
          <reference field="18" count="0"/>
        </references>
      </pivotArea>
    </format>
    <format dxfId="1045">
      <pivotArea dataOnly="0" labelOnly="1" grandCol="1" outline="0" fieldPosition="0"/>
    </format>
    <format dxfId="1046">
      <pivotArea type="all" dataOnly="0" outline="0" fieldPosition="0"/>
    </format>
    <format dxfId="1047">
      <pivotArea outline="0" collapsedLevelsAreSubtotals="1" fieldPosition="0"/>
    </format>
    <format dxfId="1048">
      <pivotArea type="origin" dataOnly="0" labelOnly="1" outline="0" fieldPosition="0"/>
    </format>
    <format dxfId="1049">
      <pivotArea field="18" type="button" dataOnly="0" labelOnly="1" outline="0" axis="axisRow" fieldPosition="0"/>
    </format>
    <format dxfId="1050">
      <pivotArea type="topRight" dataOnly="0" labelOnly="1" outline="0" fieldPosition="0"/>
    </format>
    <format dxfId="1051">
      <pivotArea field="-2" type="button" dataOnly="0" labelOnly="1" outline="0" axis="axisCol" fieldPosition="0"/>
    </format>
    <format dxfId="105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53">
      <pivotArea dataOnly="0" labelOnly="1" fieldPosition="0">
        <references count="1">
          <reference field="18" count="0"/>
        </references>
      </pivotArea>
    </format>
    <format dxfId="1054">
      <pivotArea dataOnly="0" labelOnly="1" grandCol="1" outline="0" fieldPosition="0"/>
    </format>
    <format dxfId="1055">
      <pivotArea outline="0" collapsedLevelsAreSubtotals="1" fieldPosition="0"/>
    </format>
    <format dxfId="1056">
      <pivotArea grandCol="1" outline="0" collapsedLevelsAreSubtotals="1" fieldPosition="0"/>
    </format>
    <format dxfId="1057">
      <pivotArea dataOnly="0" labelOnly="1" grandCol="1" outline="0" fieldPosition="0"/>
    </format>
    <format dxfId="1058">
      <pivotArea grandCol="1" outline="0" collapsedLevelsAreSubtotals="1" fieldPosition="0"/>
    </format>
    <format dxfId="1059">
      <pivotArea outline="0" collapsedLevelsAreSubtotals="1" fieldPosition="0"/>
    </format>
    <format dxfId="1060">
      <pivotArea collapsedLevelsAreSubtotals="1" fieldPosition="0">
        <references count="1">
          <reference field="4294967294" count="1">
            <x v="2"/>
          </reference>
        </references>
      </pivotArea>
    </format>
    <format dxfId="1061">
      <pivotArea type="all" dataOnly="0" outline="0" fieldPosition="0"/>
    </format>
    <format dxfId="1062">
      <pivotArea outline="0" collapsedLevelsAreSubtotals="1" fieldPosition="0"/>
    </format>
    <format dxfId="1063">
      <pivotArea type="origin" dataOnly="0" labelOnly="1" outline="0" fieldPosition="0"/>
    </format>
    <format dxfId="1064">
      <pivotArea field="18" type="button" dataOnly="0" labelOnly="1" outline="0" axis="axisRow" fieldPosition="0"/>
    </format>
    <format dxfId="1065">
      <pivotArea type="topRight" dataOnly="0" labelOnly="1" outline="0" fieldPosition="0"/>
    </format>
    <format dxfId="1066">
      <pivotArea field="-2" type="button" dataOnly="0" labelOnly="1" outline="0" axis="axisCol" fieldPosition="0"/>
    </format>
    <format dxfId="10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68">
      <pivotArea dataOnly="0" labelOnly="1" fieldPosition="0">
        <references count="1">
          <reference field="18" count="0"/>
        </references>
      </pivotArea>
    </format>
    <format dxfId="1069">
      <pivotArea type="all" dataOnly="0" outline="0" fieldPosition="0"/>
    </format>
    <format dxfId="1070">
      <pivotArea outline="0" collapsedLevelsAreSubtotals="1" fieldPosition="0"/>
    </format>
    <format dxfId="1071">
      <pivotArea field="18" type="button" dataOnly="0" labelOnly="1" outline="0" axis="axisRow" fieldPosition="0"/>
    </format>
    <format dxfId="1072">
      <pivotArea dataOnly="0" labelOnly="1" fieldPosition="0">
        <references count="1">
          <reference field="18" count="0"/>
        </references>
      </pivotArea>
    </format>
    <format dxfId="10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74">
      <pivotArea type="all" dataOnly="0" outline="0" fieldPosition="0"/>
    </format>
    <format dxfId="1075">
      <pivotArea outline="0" collapsedLevelsAreSubtotals="1" fieldPosition="0"/>
    </format>
    <format dxfId="1076">
      <pivotArea field="18" type="button" dataOnly="0" labelOnly="1" outline="0" axis="axisRow" fieldPosition="0"/>
    </format>
    <format dxfId="1077">
      <pivotArea dataOnly="0" labelOnly="1" fieldPosition="0">
        <references count="1">
          <reference field="18" count="0"/>
        </references>
      </pivotArea>
    </format>
    <format dxfId="107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79">
      <pivotArea type="all" dataOnly="0" outline="0" fieldPosition="0"/>
    </format>
    <format dxfId="1080">
      <pivotArea outline="0" collapsedLevelsAreSubtotals="1" fieldPosition="0"/>
    </format>
    <format dxfId="1081">
      <pivotArea dataOnly="0" labelOnly="1" fieldPosition="0">
        <references count="1">
          <reference field="18" count="0"/>
        </references>
      </pivotArea>
    </format>
    <format dxfId="1082">
      <pivotArea field="18" type="button" dataOnly="0" labelOnly="1" outline="0" axis="axisRow" fieldPosition="0"/>
    </format>
    <format dxfId="10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84">
      <pivotArea type="all" dataOnly="0" outline="0" fieldPosition="0"/>
    </format>
    <format dxfId="1085">
      <pivotArea outline="0" collapsedLevelsAreSubtotals="1" fieldPosition="0"/>
    </format>
    <format dxfId="1086">
      <pivotArea field="18" type="button" dataOnly="0" labelOnly="1" outline="0" axis="axisRow" fieldPosition="0"/>
    </format>
    <format dxfId="1087">
      <pivotArea dataOnly="0" labelOnly="1" fieldPosition="0">
        <references count="1">
          <reference field="18" count="0"/>
        </references>
      </pivotArea>
    </format>
    <format dxfId="108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89">
      <pivotArea type="all" dataOnly="0" outline="0" fieldPosition="0"/>
    </format>
    <format dxfId="1090">
      <pivotArea outline="0" collapsedLevelsAreSubtotals="1" fieldPosition="0"/>
    </format>
    <format dxfId="1091">
      <pivotArea field="18" type="button" dataOnly="0" labelOnly="1" outline="0" axis="axisRow" fieldPosition="0"/>
    </format>
    <format dxfId="1092">
      <pivotArea dataOnly="0" labelOnly="1" fieldPosition="0">
        <references count="1">
          <reference field="18" count="0"/>
        </references>
      </pivotArea>
    </format>
    <format dxfId="10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9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4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5"/>
          </reference>
        </references>
      </pivotArea>
    </chartFormat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1161E0-F0FB-45A5-9A08-BFF28ADB496F}" name="Tabela dinâmica5" cacheId="74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3" rowHeaderCaption="MOTOBOY">
  <location ref="R24:S31" firstHeaderRow="1" firstDataRow="1" firstDataCol="1" rowPageCount="2" colPageCount="1"/>
  <pivotFields count="7">
    <pivotField axis="axisPage" multipleItemSelectionAllowed="1" showAll="0">
      <items count="21">
        <item h="1" m="1" x="16"/>
        <item h="1" x="8"/>
        <item h="1" x="12"/>
        <item h="1" x="9"/>
        <item h="1" x="10"/>
        <item h="1" x="6"/>
        <item h="1" m="1" x="19"/>
        <item x="4"/>
        <item h="1" x="2"/>
        <item h="1" m="1" x="18"/>
        <item h="1" m="1" x="17"/>
        <item h="1" x="5"/>
        <item h="1" x="15"/>
        <item h="1" x="3"/>
        <item h="1" x="0"/>
        <item h="1" x="7"/>
        <item h="1" x="1"/>
        <item h="1" x="14"/>
        <item h="1" x="13"/>
        <item h="1" x="11"/>
        <item t="default"/>
      </items>
    </pivotField>
    <pivotField axis="axisRow" showAll="0" sortType="descending">
      <items count="10">
        <item x="1"/>
        <item x="4"/>
        <item x="5"/>
        <item x="2"/>
        <item x="0"/>
        <item x="3"/>
        <item x="6"/>
        <item x="8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4"/>
        <item x="9"/>
        <item x="13"/>
        <item x="15"/>
        <item x="16"/>
        <item x="18"/>
        <item x="11"/>
        <item x="12"/>
        <item x="17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7">
    <i>
      <x v="4"/>
    </i>
    <i>
      <x v="1"/>
    </i>
    <i>
      <x v="2"/>
    </i>
    <i>
      <x v="6"/>
    </i>
    <i>
      <x v="5"/>
    </i>
    <i>
      <x/>
    </i>
    <i>
      <x v="3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36">
    <format dxfId="1001">
      <pivotArea outline="0" collapsedLevelsAreSubtotals="1" fieldPosition="0"/>
    </format>
    <format dxfId="1002">
      <pivotArea dataOnly="0" labelOnly="1" outline="0" axis="axisValues" fieldPosition="0"/>
    </format>
    <format dxfId="1003">
      <pivotArea type="all" dataOnly="0" outline="0" fieldPosition="0"/>
    </format>
    <format dxfId="1004">
      <pivotArea outline="0" collapsedLevelsAreSubtotals="1" fieldPosition="0"/>
    </format>
    <format dxfId="1005">
      <pivotArea field="1" type="button" dataOnly="0" labelOnly="1" outline="0" axis="axisRow" fieldPosition="0"/>
    </format>
    <format dxfId="1006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1007">
      <pivotArea dataOnly="0" labelOnly="1" grandRow="1" outline="0" fieldPosition="0"/>
    </format>
    <format dxfId="1008">
      <pivotArea dataOnly="0" labelOnly="1" outline="0" axis="axisValues" fieldPosition="0"/>
    </format>
    <format dxfId="1009">
      <pivotArea type="all" dataOnly="0" outline="0" fieldPosition="0"/>
    </format>
    <format dxfId="1010">
      <pivotArea outline="0" collapsedLevelsAreSubtotals="1" fieldPosition="0"/>
    </format>
    <format dxfId="1011">
      <pivotArea field="1" type="button" dataOnly="0" labelOnly="1" outline="0" axis="axisRow" fieldPosition="0"/>
    </format>
    <format dxfId="1012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1013">
      <pivotArea dataOnly="0" labelOnly="1" grandRow="1" outline="0" fieldPosition="0"/>
    </format>
    <format dxfId="1014">
      <pivotArea dataOnly="0" labelOnly="1" outline="0" axis="axisValues" fieldPosition="0"/>
    </format>
    <format dxfId="1015">
      <pivotArea type="all" dataOnly="0" outline="0" fieldPosition="0"/>
    </format>
    <format dxfId="1016">
      <pivotArea outline="0" collapsedLevelsAreSubtotals="1" fieldPosition="0"/>
    </format>
    <format dxfId="1017">
      <pivotArea field="1" type="button" dataOnly="0" labelOnly="1" outline="0" axis="axisRow" fieldPosition="0"/>
    </format>
    <format dxfId="1018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1019">
      <pivotArea dataOnly="0" labelOnly="1" grandRow="1" outline="0" fieldPosition="0"/>
    </format>
    <format dxfId="1020">
      <pivotArea dataOnly="0" labelOnly="1" outline="0" axis="axisValues" fieldPosition="0"/>
    </format>
    <format dxfId="1021">
      <pivotArea type="all" dataOnly="0" outline="0" fieldPosition="0"/>
    </format>
    <format dxfId="1022">
      <pivotArea outline="0" collapsedLevelsAreSubtotals="1" fieldPosition="0"/>
    </format>
    <format dxfId="1023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1024">
      <pivotArea dataOnly="0" labelOnly="1" grandRow="1" outline="0" fieldPosition="0"/>
    </format>
    <format dxfId="1025">
      <pivotArea field="1" type="button" dataOnly="0" labelOnly="1" outline="0" axis="axisRow" fieldPosition="0"/>
    </format>
    <format dxfId="1026">
      <pivotArea dataOnly="0" labelOnly="1" outline="0" axis="axisValues" fieldPosition="0"/>
    </format>
    <format dxfId="1027">
      <pivotArea type="all" dataOnly="0" outline="0" fieldPosition="0"/>
    </format>
    <format dxfId="1028">
      <pivotArea outline="0" collapsedLevelsAreSubtotals="1" fieldPosition="0"/>
    </format>
    <format dxfId="1029">
      <pivotArea field="1" type="button" dataOnly="0" labelOnly="1" outline="0" axis="axisRow" fieldPosition="0"/>
    </format>
    <format dxfId="1030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1031">
      <pivotArea dataOnly="0" labelOnly="1" outline="0" axis="axisValues" fieldPosition="0"/>
    </format>
    <format dxfId="1032">
      <pivotArea type="all" dataOnly="0" outline="0" fieldPosition="0"/>
    </format>
    <format dxfId="1033">
      <pivotArea outline="0" collapsedLevelsAreSubtotals="1" fieldPosition="0"/>
    </format>
    <format dxfId="1034">
      <pivotArea field="1" type="button" dataOnly="0" labelOnly="1" outline="0" axis="axisRow" fieldPosition="0"/>
    </format>
    <format dxfId="1035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1036">
      <pivotArea dataOnly="0" labelOnly="1" outline="0" axis="axisValues" fieldPosition="0"/>
    </format>
  </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8556B9-018D-4D81-AF7D-E263130E5434}" name="Tabela dinâmica11" cacheId="74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1" rowHeaderCaption="MOTOBOY">
  <location ref="Z4:AA7" firstHeaderRow="1" firstDataRow="1" firstDataCol="1" rowPageCount="1" colPageCount="1"/>
  <pivotFields count="7">
    <pivotField axis="axisRow" multipleItemSelectionAllowed="1" showAll="0">
      <items count="21">
        <item x="14"/>
        <item x="0"/>
        <item h="1" m="1" x="16"/>
        <item h="1" x="8"/>
        <item h="1" x="12"/>
        <item h="1" x="9"/>
        <item h="1" x="10"/>
        <item h="1" x="6"/>
        <item h="1" m="1" x="19"/>
        <item h="1" x="4"/>
        <item h="1" x="2"/>
        <item m="1" x="18"/>
        <item h="1" m="1" x="17"/>
        <item h="1" x="5"/>
        <item h="1" x="13"/>
        <item h="1" x="1"/>
        <item h="1" x="3"/>
        <item h="1" x="7"/>
        <item h="1" x="15"/>
        <item x="11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4"/>
        <item x="9"/>
        <item x="13"/>
        <item x="15"/>
        <item x="16"/>
        <item x="18"/>
        <item x="11"/>
        <item x="12"/>
        <item x="17"/>
        <item t="default"/>
      </items>
    </pivotField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3">
    <i>
      <x/>
    </i>
    <i>
      <x v="1"/>
    </i>
    <i>
      <x v="19"/>
    </i>
  </rowItems>
  <colItems count="1">
    <i/>
  </colItems>
  <pageFields count="1">
    <pageField fld="2" hier="-1"/>
  </pageFields>
  <dataFields count="1">
    <dataField name="R$" fld="6" baseField="0" baseItem="0" numFmtId="164"/>
  </dataFields>
  <formats count="36">
    <format dxfId="965">
      <pivotArea outline="0" collapsedLevelsAreSubtotals="1" fieldPosition="0"/>
    </format>
    <format dxfId="966">
      <pivotArea dataOnly="0" labelOnly="1" outline="0" axis="axisValues" fieldPosition="0"/>
    </format>
    <format dxfId="967">
      <pivotArea type="all" dataOnly="0" outline="0" fieldPosition="0"/>
    </format>
    <format dxfId="968">
      <pivotArea outline="0" collapsedLevelsAreSubtotals="1" fieldPosition="0"/>
    </format>
    <format dxfId="969">
      <pivotArea field="0" type="button" dataOnly="0" labelOnly="1" outline="0" axis="axisRow" fieldPosition="0"/>
    </format>
    <format dxfId="970">
      <pivotArea dataOnly="0" labelOnly="1" fieldPosition="0">
        <references count="1">
          <reference field="0" count="0"/>
        </references>
      </pivotArea>
    </format>
    <format dxfId="971">
      <pivotArea dataOnly="0" labelOnly="1" grandRow="1" outline="0" fieldPosition="0"/>
    </format>
    <format dxfId="972">
      <pivotArea dataOnly="0" labelOnly="1" outline="0" axis="axisValues" fieldPosition="0"/>
    </format>
    <format dxfId="973">
      <pivotArea type="all" dataOnly="0" outline="0" fieldPosition="0"/>
    </format>
    <format dxfId="974">
      <pivotArea outline="0" collapsedLevelsAreSubtotals="1" fieldPosition="0"/>
    </format>
    <format dxfId="975">
      <pivotArea field="0" type="button" dataOnly="0" labelOnly="1" outline="0" axis="axisRow" fieldPosition="0"/>
    </format>
    <format dxfId="976">
      <pivotArea dataOnly="0" labelOnly="1" fieldPosition="0">
        <references count="1">
          <reference field="0" count="0"/>
        </references>
      </pivotArea>
    </format>
    <format dxfId="977">
      <pivotArea dataOnly="0" labelOnly="1" grandRow="1" outline="0" fieldPosition="0"/>
    </format>
    <format dxfId="978">
      <pivotArea dataOnly="0" labelOnly="1" outline="0" axis="axisValues" fieldPosition="0"/>
    </format>
    <format dxfId="979">
      <pivotArea type="all" dataOnly="0" outline="0" fieldPosition="0"/>
    </format>
    <format dxfId="980">
      <pivotArea outline="0" collapsedLevelsAreSubtotals="1" fieldPosition="0"/>
    </format>
    <format dxfId="981">
      <pivotArea field="0" type="button" dataOnly="0" labelOnly="1" outline="0" axis="axisRow" fieldPosition="0"/>
    </format>
    <format dxfId="982">
      <pivotArea dataOnly="0" labelOnly="1" fieldPosition="0">
        <references count="1">
          <reference field="0" count="0"/>
        </references>
      </pivotArea>
    </format>
    <format dxfId="983">
      <pivotArea dataOnly="0" labelOnly="1" grandRow="1" outline="0" fieldPosition="0"/>
    </format>
    <format dxfId="984">
      <pivotArea dataOnly="0" labelOnly="1" outline="0" axis="axisValues" fieldPosition="0"/>
    </format>
    <format dxfId="985">
      <pivotArea type="all" dataOnly="0" outline="0" fieldPosition="0"/>
    </format>
    <format dxfId="986">
      <pivotArea outline="0" collapsedLevelsAreSubtotals="1" fieldPosition="0"/>
    </format>
    <format dxfId="987">
      <pivotArea dataOnly="0" labelOnly="1" fieldPosition="0">
        <references count="1">
          <reference field="0" count="0"/>
        </references>
      </pivotArea>
    </format>
    <format dxfId="988">
      <pivotArea dataOnly="0" labelOnly="1" grandRow="1" outline="0" fieldPosition="0"/>
    </format>
    <format dxfId="989">
      <pivotArea field="0" type="button" dataOnly="0" labelOnly="1" outline="0" axis="axisRow" fieldPosition="0"/>
    </format>
    <format dxfId="990">
      <pivotArea dataOnly="0" labelOnly="1" outline="0" axis="axisValues" fieldPosition="0"/>
    </format>
    <format dxfId="991">
      <pivotArea type="all" dataOnly="0" outline="0" fieldPosition="0"/>
    </format>
    <format dxfId="992">
      <pivotArea outline="0" collapsedLevelsAreSubtotals="1" fieldPosition="0"/>
    </format>
    <format dxfId="993">
      <pivotArea field="0" type="button" dataOnly="0" labelOnly="1" outline="0" axis="axisRow" fieldPosition="0"/>
    </format>
    <format dxfId="994">
      <pivotArea dataOnly="0" labelOnly="1" fieldPosition="0">
        <references count="1">
          <reference field="0" count="0"/>
        </references>
      </pivotArea>
    </format>
    <format dxfId="995">
      <pivotArea dataOnly="0" labelOnly="1" outline="0" axis="axisValues" fieldPosition="0"/>
    </format>
    <format dxfId="996">
      <pivotArea type="all" dataOnly="0" outline="0" fieldPosition="0"/>
    </format>
    <format dxfId="997">
      <pivotArea outline="0" collapsedLevelsAreSubtotals="1" fieldPosition="0"/>
    </format>
    <format dxfId="998">
      <pivotArea field="0" type="button" dataOnly="0" labelOnly="1" outline="0" axis="axisRow" fieldPosition="0"/>
    </format>
    <format dxfId="999">
      <pivotArea dataOnly="0" labelOnly="1" fieldPosition="0">
        <references count="1">
          <reference field="0" count="0"/>
        </references>
      </pivotArea>
    </format>
    <format dxfId="1000">
      <pivotArea dataOnly="0" labelOnly="1" outline="0" axis="axisValues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5AADAF-E929-49FD-8E32-4389BCA460B6}" name="Tabela dinâmica10" cacheId="74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6" rowHeaderCaption="MOTOBOY">
  <location ref="AB24:AC28" firstHeaderRow="1" firstDataRow="1" firstDataCol="1" rowPageCount="1" colPageCount="1"/>
  <pivotFields count="7">
    <pivotField axis="axisRow" multipleItemSelectionAllowed="1" showAll="0">
      <items count="21">
        <item h="1" x="14"/>
        <item h="1" x="0"/>
        <item h="1" m="1" x="16"/>
        <item h="1" x="8"/>
        <item h="1" x="12"/>
        <item h="1" x="9"/>
        <item h="1" x="10"/>
        <item h="1" x="6"/>
        <item h="1" m="1" x="19"/>
        <item h="1" x="4"/>
        <item h="1" x="2"/>
        <item h="1" m="1" x="18"/>
        <item m="1" x="17"/>
        <item h="1" x="5"/>
        <item x="13"/>
        <item x="1"/>
        <item x="3"/>
        <item x="7"/>
        <item h="1" x="15"/>
        <item h="1" x="11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4"/>
        <item x="9"/>
        <item x="13"/>
        <item x="15"/>
        <item x="16"/>
        <item x="18"/>
        <item x="11"/>
        <item x="12"/>
        <item x="17"/>
        <item t="default"/>
      </items>
    </pivotField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4">
    <i>
      <x v="14"/>
    </i>
    <i>
      <x v="15"/>
    </i>
    <i>
      <x v="16"/>
    </i>
    <i>
      <x v="17"/>
    </i>
  </rowItems>
  <colItems count="1">
    <i/>
  </colItems>
  <pageFields count="1">
    <pageField fld="2" hier="-1"/>
  </pageFields>
  <dataFields count="1">
    <dataField name="R$" fld="6" baseField="0" baseItem="0" numFmtId="164"/>
  </dataFields>
  <formats count="36">
    <format dxfId="929">
      <pivotArea outline="0" collapsedLevelsAreSubtotals="1" fieldPosition="0"/>
    </format>
    <format dxfId="930">
      <pivotArea dataOnly="0" labelOnly="1" outline="0" axis="axisValues" fieldPosition="0"/>
    </format>
    <format dxfId="931">
      <pivotArea type="all" dataOnly="0" outline="0" fieldPosition="0"/>
    </format>
    <format dxfId="932">
      <pivotArea outline="0" collapsedLevelsAreSubtotals="1" fieldPosition="0"/>
    </format>
    <format dxfId="933">
      <pivotArea field="0" type="button" dataOnly="0" labelOnly="1" outline="0" axis="axisRow" fieldPosition="0"/>
    </format>
    <format dxfId="934">
      <pivotArea dataOnly="0" labelOnly="1" fieldPosition="0">
        <references count="1">
          <reference field="0" count="0"/>
        </references>
      </pivotArea>
    </format>
    <format dxfId="935">
      <pivotArea dataOnly="0" labelOnly="1" grandRow="1" outline="0" fieldPosition="0"/>
    </format>
    <format dxfId="936">
      <pivotArea dataOnly="0" labelOnly="1" outline="0" axis="axisValues" fieldPosition="0"/>
    </format>
    <format dxfId="937">
      <pivotArea type="all" dataOnly="0" outline="0" fieldPosition="0"/>
    </format>
    <format dxfId="938">
      <pivotArea outline="0" collapsedLevelsAreSubtotals="1" fieldPosition="0"/>
    </format>
    <format dxfId="939">
      <pivotArea field="0" type="button" dataOnly="0" labelOnly="1" outline="0" axis="axisRow" fieldPosition="0"/>
    </format>
    <format dxfId="940">
      <pivotArea dataOnly="0" labelOnly="1" fieldPosition="0">
        <references count="1">
          <reference field="0" count="0"/>
        </references>
      </pivotArea>
    </format>
    <format dxfId="941">
      <pivotArea dataOnly="0" labelOnly="1" grandRow="1" outline="0" fieldPosition="0"/>
    </format>
    <format dxfId="942">
      <pivotArea dataOnly="0" labelOnly="1" outline="0" axis="axisValues" fieldPosition="0"/>
    </format>
    <format dxfId="943">
      <pivotArea type="all" dataOnly="0" outline="0" fieldPosition="0"/>
    </format>
    <format dxfId="944">
      <pivotArea outline="0" collapsedLevelsAreSubtotals="1" fieldPosition="0"/>
    </format>
    <format dxfId="945">
      <pivotArea field="0" type="button" dataOnly="0" labelOnly="1" outline="0" axis="axisRow" fieldPosition="0"/>
    </format>
    <format dxfId="946">
      <pivotArea dataOnly="0" labelOnly="1" fieldPosition="0">
        <references count="1">
          <reference field="0" count="0"/>
        </references>
      </pivotArea>
    </format>
    <format dxfId="947">
      <pivotArea dataOnly="0" labelOnly="1" grandRow="1" outline="0" fieldPosition="0"/>
    </format>
    <format dxfId="948">
      <pivotArea dataOnly="0" labelOnly="1" outline="0" axis="axisValues" fieldPosition="0"/>
    </format>
    <format dxfId="949">
      <pivotArea type="all" dataOnly="0" outline="0" fieldPosition="0"/>
    </format>
    <format dxfId="950">
      <pivotArea outline="0" collapsedLevelsAreSubtotals="1" fieldPosition="0"/>
    </format>
    <format dxfId="951">
      <pivotArea dataOnly="0" labelOnly="1" fieldPosition="0">
        <references count="1">
          <reference field="0" count="0"/>
        </references>
      </pivotArea>
    </format>
    <format dxfId="952">
      <pivotArea dataOnly="0" labelOnly="1" grandRow="1" outline="0" fieldPosition="0"/>
    </format>
    <format dxfId="953">
      <pivotArea field="0" type="button" dataOnly="0" labelOnly="1" outline="0" axis="axisRow" fieldPosition="0"/>
    </format>
    <format dxfId="954">
      <pivotArea dataOnly="0" labelOnly="1" outline="0" axis="axisValues" fieldPosition="0"/>
    </format>
    <format dxfId="955">
      <pivotArea type="all" dataOnly="0" outline="0" fieldPosition="0"/>
    </format>
    <format dxfId="956">
      <pivotArea outline="0" collapsedLevelsAreSubtotals="1" fieldPosition="0"/>
    </format>
    <format dxfId="957">
      <pivotArea field="0" type="button" dataOnly="0" labelOnly="1" outline="0" axis="axisRow" fieldPosition="0"/>
    </format>
    <format dxfId="958">
      <pivotArea dataOnly="0" labelOnly="1" fieldPosition="0">
        <references count="1">
          <reference field="0" count="0"/>
        </references>
      </pivotArea>
    </format>
    <format dxfId="959">
      <pivotArea dataOnly="0" labelOnly="1" outline="0" axis="axisValues" fieldPosition="0"/>
    </format>
    <format dxfId="960">
      <pivotArea type="all" dataOnly="0" outline="0" fieldPosition="0"/>
    </format>
    <format dxfId="961">
      <pivotArea outline="0" collapsedLevelsAreSubtotals="1" fieldPosition="0"/>
    </format>
    <format dxfId="962">
      <pivotArea field="0" type="button" dataOnly="0" labelOnly="1" outline="0" axis="axisRow" fieldPosition="0"/>
    </format>
    <format dxfId="963">
      <pivotArea dataOnly="0" labelOnly="1" fieldPosition="0">
        <references count="1">
          <reference field="0" count="0"/>
        </references>
      </pivotArea>
    </format>
    <format dxfId="964">
      <pivotArea dataOnly="0" labelOnly="1" outline="0" axis="axisValues" fieldPosition="0"/>
    </format>
  </format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246129-539C-4841-A807-52F3EE6E9D40}" name="Tabela dinâmica2" cacheId="74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1" rowHeaderCaption="MOTOBOY">
  <location ref="V24:W31" firstHeaderRow="1" firstDataRow="1" firstDataCol="1" rowPageCount="2" colPageCount="1"/>
  <pivotFields count="7">
    <pivotField axis="axisPage" multipleItemSelectionAllowed="1" showAll="0">
      <items count="21">
        <item h="1" m="1" x="16"/>
        <item h="1" x="8"/>
        <item h="1" x="12"/>
        <item h="1" x="9"/>
        <item h="1" x="10"/>
        <item h="1" x="6"/>
        <item h="1" m="1" x="19"/>
        <item x="4"/>
        <item h="1" x="2"/>
        <item h="1" m="1" x="18"/>
        <item h="1" m="1" x="17"/>
        <item h="1" x="5"/>
        <item h="1" x="15"/>
        <item h="1" x="3"/>
        <item h="1" x="0"/>
        <item h="1" x="7"/>
        <item h="1" x="1"/>
        <item h="1" x="14"/>
        <item h="1" x="13"/>
        <item h="1" x="11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4"/>
        <item x="9"/>
        <item x="13"/>
        <item x="15"/>
        <item x="16"/>
        <item x="18"/>
        <item x="11"/>
        <item x="12"/>
        <item x="17"/>
        <item t="default"/>
      </items>
    </pivotField>
    <pivotField showAll="0"/>
    <pivotField showAll="0"/>
    <pivotField axis="axisRow" showAll="0" sortType="descending">
      <items count="33">
        <item x="22"/>
        <item x="13"/>
        <item x="4"/>
        <item x="16"/>
        <item x="6"/>
        <item x="1"/>
        <item x="0"/>
        <item x="3"/>
        <item x="2"/>
        <item x="25"/>
        <item x="27"/>
        <item x="23"/>
        <item x="7"/>
        <item x="14"/>
        <item x="15"/>
        <item x="20"/>
        <item x="9"/>
        <item x="18"/>
        <item x="21"/>
        <item x="19"/>
        <item x="24"/>
        <item x="26"/>
        <item x="10"/>
        <item x="12"/>
        <item x="8"/>
        <item x="28"/>
        <item x="5"/>
        <item x="17"/>
        <item x="11"/>
        <item x="29"/>
        <item x="31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5"/>
  </rowFields>
  <rowItems count="7">
    <i>
      <x v="4"/>
    </i>
    <i>
      <x v="14"/>
    </i>
    <i>
      <x v="16"/>
    </i>
    <i>
      <x v="28"/>
    </i>
    <i>
      <x v="13"/>
    </i>
    <i>
      <x v="2"/>
    </i>
    <i>
      <x v="12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36">
    <format dxfId="893">
      <pivotArea outline="0" collapsedLevelsAreSubtotals="1" fieldPosition="0"/>
    </format>
    <format dxfId="894">
      <pivotArea dataOnly="0" labelOnly="1" outline="0" axis="axisValues" fieldPosition="0"/>
    </format>
    <format dxfId="895">
      <pivotArea type="all" dataOnly="0" outline="0" fieldPosition="0"/>
    </format>
    <format dxfId="896">
      <pivotArea outline="0" collapsedLevelsAreSubtotals="1" fieldPosition="0"/>
    </format>
    <format dxfId="897">
      <pivotArea field="5" type="button" dataOnly="0" labelOnly="1" outline="0" axis="axisRow" fieldPosition="0"/>
    </format>
    <format dxfId="898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899">
      <pivotArea dataOnly="0" labelOnly="1" grandRow="1" outline="0" fieldPosition="0"/>
    </format>
    <format dxfId="900">
      <pivotArea dataOnly="0" labelOnly="1" outline="0" axis="axisValues" fieldPosition="0"/>
    </format>
    <format dxfId="901">
      <pivotArea type="all" dataOnly="0" outline="0" fieldPosition="0"/>
    </format>
    <format dxfId="902">
      <pivotArea outline="0" collapsedLevelsAreSubtotals="1" fieldPosition="0"/>
    </format>
    <format dxfId="903">
      <pivotArea field="5" type="button" dataOnly="0" labelOnly="1" outline="0" axis="axisRow" fieldPosition="0"/>
    </format>
    <format dxfId="904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905">
      <pivotArea dataOnly="0" labelOnly="1" grandRow="1" outline="0" fieldPosition="0"/>
    </format>
    <format dxfId="906">
      <pivotArea dataOnly="0" labelOnly="1" outline="0" axis="axisValues" fieldPosition="0"/>
    </format>
    <format dxfId="907">
      <pivotArea type="all" dataOnly="0" outline="0" fieldPosition="0"/>
    </format>
    <format dxfId="908">
      <pivotArea outline="0" collapsedLevelsAreSubtotals="1" fieldPosition="0"/>
    </format>
    <format dxfId="909">
      <pivotArea field="5" type="button" dataOnly="0" labelOnly="1" outline="0" axis="axisRow" fieldPosition="0"/>
    </format>
    <format dxfId="910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911">
      <pivotArea dataOnly="0" labelOnly="1" grandRow="1" outline="0" fieldPosition="0"/>
    </format>
    <format dxfId="912">
      <pivotArea dataOnly="0" labelOnly="1" outline="0" axis="axisValues" fieldPosition="0"/>
    </format>
    <format dxfId="913">
      <pivotArea type="all" dataOnly="0" outline="0" fieldPosition="0"/>
    </format>
    <format dxfId="914">
      <pivotArea outline="0" collapsedLevelsAreSubtotals="1" fieldPosition="0"/>
    </format>
    <format dxfId="915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916">
      <pivotArea dataOnly="0" labelOnly="1" grandRow="1" outline="0" fieldPosition="0"/>
    </format>
    <format dxfId="917">
      <pivotArea field="5" type="button" dataOnly="0" labelOnly="1" outline="0" axis="axisRow" fieldPosition="0"/>
    </format>
    <format dxfId="918">
      <pivotArea dataOnly="0" labelOnly="1" outline="0" axis="axisValues" fieldPosition="0"/>
    </format>
    <format dxfId="919">
      <pivotArea type="all" dataOnly="0" outline="0" fieldPosition="0"/>
    </format>
    <format dxfId="920">
      <pivotArea outline="0" collapsedLevelsAreSubtotals="1" fieldPosition="0"/>
    </format>
    <format dxfId="921">
      <pivotArea field="5" type="button" dataOnly="0" labelOnly="1" outline="0" axis="axisRow" fieldPosition="0"/>
    </format>
    <format dxfId="922">
      <pivotArea dataOnly="0" labelOnly="1" fieldPosition="0">
        <references count="1">
          <reference field="5" count="7">
            <x v="2"/>
            <x v="4"/>
            <x v="12"/>
            <x v="13"/>
            <x v="14"/>
            <x v="16"/>
            <x v="28"/>
          </reference>
        </references>
      </pivotArea>
    </format>
    <format dxfId="923">
      <pivotArea dataOnly="0" labelOnly="1" outline="0" axis="axisValues" fieldPosition="0"/>
    </format>
    <format dxfId="924">
      <pivotArea type="all" dataOnly="0" outline="0" fieldPosition="0"/>
    </format>
    <format dxfId="925">
      <pivotArea outline="0" collapsedLevelsAreSubtotals="1" fieldPosition="0"/>
    </format>
    <format dxfId="926">
      <pivotArea field="5" type="button" dataOnly="0" labelOnly="1" outline="0" axis="axisRow" fieldPosition="0"/>
    </format>
    <format dxfId="927">
      <pivotArea dataOnly="0" labelOnly="1" fieldPosition="0">
        <references count="1">
          <reference field="5" count="7">
            <x v="2"/>
            <x v="4"/>
            <x v="12"/>
            <x v="13"/>
            <x v="14"/>
            <x v="16"/>
            <x v="28"/>
          </reference>
        </references>
      </pivotArea>
    </format>
    <format dxfId="928">
      <pivotArea dataOnly="0" labelOnly="1" outline="0" axis="axisValues" fieldPosition="0"/>
    </format>
  </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519A9D-9E20-413B-A212-20522FA83AC2}" name="Tabela dinâmica4" cacheId="74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8" rowHeaderCaption="TRANSPORTADORA">
  <location ref="X24:Y28" firstHeaderRow="1" firstDataRow="1" firstDataCol="1" rowPageCount="2" colPageCount="1"/>
  <pivotFields count="7">
    <pivotField axis="axisPage" multipleItemSelectionAllowed="1" showAll="0">
      <items count="21">
        <item h="1" m="1" x="16"/>
        <item h="1" x="8"/>
        <item h="1" x="12"/>
        <item h="1" x="9"/>
        <item h="1" x="10"/>
        <item h="1" x="6"/>
        <item h="1" m="1" x="19"/>
        <item h="1" x="4"/>
        <item x="2"/>
        <item h="1" m="1" x="18"/>
        <item h="1" m="1" x="17"/>
        <item h="1" x="5"/>
        <item h="1" x="15"/>
        <item h="1" x="3"/>
        <item h="1" x="0"/>
        <item h="1" x="7"/>
        <item h="1" x="1"/>
        <item h="1" x="14"/>
        <item h="1" x="13"/>
        <item h="1" x="11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4"/>
        <item x="9"/>
        <item x="13"/>
        <item x="15"/>
        <item x="16"/>
        <item x="18"/>
        <item x="11"/>
        <item x="12"/>
        <item x="17"/>
        <item t="default"/>
      </items>
    </pivotField>
    <pivotField showAll="0"/>
    <pivotField showAll="0"/>
    <pivotField axis="axisRow" showAll="0" sortType="descending">
      <items count="33">
        <item x="22"/>
        <item x="13"/>
        <item x="4"/>
        <item x="16"/>
        <item x="6"/>
        <item x="1"/>
        <item x="0"/>
        <item x="3"/>
        <item x="2"/>
        <item x="25"/>
        <item x="27"/>
        <item x="23"/>
        <item x="7"/>
        <item x="14"/>
        <item x="15"/>
        <item x="20"/>
        <item x="9"/>
        <item x="18"/>
        <item x="21"/>
        <item x="19"/>
        <item x="24"/>
        <item x="26"/>
        <item x="10"/>
        <item x="12"/>
        <item x="8"/>
        <item x="28"/>
        <item x="5"/>
        <item x="17"/>
        <item x="11"/>
        <item x="29"/>
        <item x="31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5"/>
  </rowFields>
  <rowItems count="4">
    <i>
      <x v="3"/>
    </i>
    <i>
      <x v="8"/>
    </i>
    <i>
      <x v="22"/>
    </i>
    <i>
      <x v="27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36">
    <format dxfId="857">
      <pivotArea outline="0" collapsedLevelsAreSubtotals="1" fieldPosition="0"/>
    </format>
    <format dxfId="858">
      <pivotArea dataOnly="0" labelOnly="1" outline="0" axis="axisValues" fieldPosition="0"/>
    </format>
    <format dxfId="859">
      <pivotArea type="all" dataOnly="0" outline="0" fieldPosition="0"/>
    </format>
    <format dxfId="860">
      <pivotArea outline="0" collapsedLevelsAreSubtotals="1" fieldPosition="0"/>
    </format>
    <format dxfId="861">
      <pivotArea field="5" type="button" dataOnly="0" labelOnly="1" outline="0" axis="axisRow" fieldPosition="0"/>
    </format>
    <format dxfId="862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863">
      <pivotArea dataOnly="0" labelOnly="1" grandRow="1" outline="0" fieldPosition="0"/>
    </format>
    <format dxfId="864">
      <pivotArea dataOnly="0" labelOnly="1" outline="0" axis="axisValues" fieldPosition="0"/>
    </format>
    <format dxfId="865">
      <pivotArea type="all" dataOnly="0" outline="0" fieldPosition="0"/>
    </format>
    <format dxfId="866">
      <pivotArea outline="0" collapsedLevelsAreSubtotals="1" fieldPosition="0"/>
    </format>
    <format dxfId="867">
      <pivotArea field="5" type="button" dataOnly="0" labelOnly="1" outline="0" axis="axisRow" fieldPosition="0"/>
    </format>
    <format dxfId="868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869">
      <pivotArea dataOnly="0" labelOnly="1" grandRow="1" outline="0" fieldPosition="0"/>
    </format>
    <format dxfId="870">
      <pivotArea dataOnly="0" labelOnly="1" outline="0" axis="axisValues" fieldPosition="0"/>
    </format>
    <format dxfId="871">
      <pivotArea type="all" dataOnly="0" outline="0" fieldPosition="0"/>
    </format>
    <format dxfId="872">
      <pivotArea outline="0" collapsedLevelsAreSubtotals="1" fieldPosition="0"/>
    </format>
    <format dxfId="873">
      <pivotArea field="5" type="button" dataOnly="0" labelOnly="1" outline="0" axis="axisRow" fieldPosition="0"/>
    </format>
    <format dxfId="874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875">
      <pivotArea dataOnly="0" labelOnly="1" grandRow="1" outline="0" fieldPosition="0"/>
    </format>
    <format dxfId="876">
      <pivotArea dataOnly="0" labelOnly="1" outline="0" axis="axisValues" fieldPosition="0"/>
    </format>
    <format dxfId="877">
      <pivotArea type="all" dataOnly="0" outline="0" fieldPosition="0"/>
    </format>
    <format dxfId="878">
      <pivotArea outline="0" collapsedLevelsAreSubtotals="1" fieldPosition="0"/>
    </format>
    <format dxfId="879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880">
      <pivotArea dataOnly="0" labelOnly="1" grandRow="1" outline="0" fieldPosition="0"/>
    </format>
    <format dxfId="881">
      <pivotArea field="5" type="button" dataOnly="0" labelOnly="1" outline="0" axis="axisRow" fieldPosition="0"/>
    </format>
    <format dxfId="882">
      <pivotArea dataOnly="0" labelOnly="1" outline="0" axis="axisValues" fieldPosition="0"/>
    </format>
    <format dxfId="883">
      <pivotArea type="all" dataOnly="0" outline="0" fieldPosition="0"/>
    </format>
    <format dxfId="884">
      <pivotArea outline="0" collapsedLevelsAreSubtotals="1" fieldPosition="0"/>
    </format>
    <format dxfId="885">
      <pivotArea field="5" type="button" dataOnly="0" labelOnly="1" outline="0" axis="axisRow" fieldPosition="0"/>
    </format>
    <format dxfId="886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887">
      <pivotArea dataOnly="0" labelOnly="1" outline="0" axis="axisValues" fieldPosition="0"/>
    </format>
    <format dxfId="888">
      <pivotArea type="all" dataOnly="0" outline="0" fieldPosition="0"/>
    </format>
    <format dxfId="889">
      <pivotArea outline="0" collapsedLevelsAreSubtotals="1" fieldPosition="0"/>
    </format>
    <format dxfId="890">
      <pivotArea field="5" type="button" dataOnly="0" labelOnly="1" outline="0" axis="axisRow" fieldPosition="0"/>
    </format>
    <format dxfId="891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892">
      <pivotArea dataOnly="0" labelOnly="1" outline="0" axis="axisValues" fieldPosition="0"/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3687F-BED3-4D4C-A56E-C2B3A4C42D58}" name="Tabela dinâmica13" cacheId="75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2" rowHeaderCaption="TERCEIRO" colHeaderCaption=".">
  <location ref="M24:O32" firstHeaderRow="0" firstDataRow="1" firstDataCol="1" rowPageCount="1" colPageCount="1"/>
  <pivotFields count="19">
    <pivotField showAll="0" defaultSubtotal="0"/>
    <pivotField axis="axisRow" showAll="0" measureFilter="1" sortType="descending" defaultSubtotal="0">
      <items count="13">
        <item x="12"/>
        <item x="8"/>
        <item x="2"/>
        <item x="4"/>
        <item x="1"/>
        <item x="7"/>
        <item x="0"/>
        <item x="9"/>
        <item x="6"/>
        <item x="3"/>
        <item x="5"/>
        <item x="11"/>
        <item x="1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axis="axisPage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21"/>
        <item x="12"/>
        <item x="13"/>
        <item x="14"/>
        <item x="15"/>
        <item x="16"/>
        <item x="18"/>
        <item x="20"/>
        <item x="17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7">
        <item m="1" x="6"/>
        <item x="2"/>
        <item x="4"/>
        <item x="1"/>
        <item x="3"/>
        <item x="0"/>
        <item h="1" x="5"/>
      </items>
    </pivotField>
  </pivotFields>
  <rowFields count="1">
    <field x="1"/>
  </rowFields>
  <rowItems count="8">
    <i>
      <x v="4"/>
    </i>
    <i>
      <x v="7"/>
    </i>
    <i>
      <x v="8"/>
    </i>
    <i>
      <x v="1"/>
    </i>
    <i>
      <x v="6"/>
    </i>
    <i>
      <x v="3"/>
    </i>
    <i>
      <x v="5"/>
    </i>
    <i>
      <x v="2"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Valor Total" fld="5" baseField="18" baseItem="0"/>
    <dataField name="Total KM" fld="3" baseField="0" baseItem="0" numFmtId="1"/>
  </dataFields>
  <formats count="55">
    <format dxfId="802">
      <pivotArea type="all" dataOnly="0" outline="0" fieldPosition="0"/>
    </format>
    <format dxfId="803">
      <pivotArea outline="0" collapsedLevelsAreSubtotals="1" fieldPosition="0"/>
    </format>
    <format dxfId="804">
      <pivotArea type="origin" dataOnly="0" labelOnly="1" outline="0" fieldPosition="0"/>
    </format>
    <format dxfId="805">
      <pivotArea field="18" type="button" dataOnly="0" labelOnly="1" outline="0"/>
    </format>
    <format dxfId="806">
      <pivotArea type="topRight" dataOnly="0" labelOnly="1" outline="0" fieldPosition="0"/>
    </format>
    <format dxfId="807">
      <pivotArea field="-2" type="button" dataOnly="0" labelOnly="1" outline="0" axis="axisCol" fieldPosition="0"/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9">
      <pivotArea dataOnly="0" labelOnly="1" grandCol="1" outline="0" fieldPosition="0"/>
    </format>
    <format dxfId="810">
      <pivotArea type="all" dataOnly="0" outline="0" fieldPosition="0"/>
    </format>
    <format dxfId="811">
      <pivotArea outline="0" collapsedLevelsAreSubtotals="1" fieldPosition="0"/>
    </format>
    <format dxfId="812">
      <pivotArea type="origin" dataOnly="0" labelOnly="1" outline="0" fieldPosition="0"/>
    </format>
    <format dxfId="813">
      <pivotArea field="18" type="button" dataOnly="0" labelOnly="1" outline="0"/>
    </format>
    <format dxfId="814">
      <pivotArea type="topRight" dataOnly="0" labelOnly="1" outline="0" fieldPosition="0"/>
    </format>
    <format dxfId="815">
      <pivotArea field="-2" type="button" dataOnly="0" labelOnly="1" outline="0" axis="axisCol" fieldPosition="0"/>
    </format>
    <format dxfId="816">
      <pivotArea dataOnly="0" labelOnly="1" grandCol="1" outline="0" fieldPosition="0"/>
    </format>
    <format dxfId="817">
      <pivotArea outline="0" collapsedLevelsAreSubtotals="1" fieldPosition="0"/>
    </format>
    <format dxfId="818">
      <pivotArea grandCol="1" outline="0" collapsedLevelsAreSubtotals="1" fieldPosition="0"/>
    </format>
    <format dxfId="819">
      <pivotArea dataOnly="0" labelOnly="1" grandCol="1" outline="0" fieldPosition="0"/>
    </format>
    <format dxfId="820">
      <pivotArea grandCol="1" outline="0" collapsedLevelsAreSubtotals="1" fieldPosition="0"/>
    </format>
    <format dxfId="82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822">
      <pivotArea type="all" dataOnly="0" outline="0" fieldPosition="0"/>
    </format>
    <format dxfId="823">
      <pivotArea outline="0" collapsedLevelsAreSubtotals="1" fieldPosition="0"/>
    </format>
    <format dxfId="824">
      <pivotArea field="1" type="button" dataOnly="0" labelOnly="1" outline="0" axis="axisRow" fieldPosition="0"/>
    </format>
    <format dxfId="825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82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27">
      <pivotArea type="all" dataOnly="0" outline="0" fieldPosition="0"/>
    </format>
    <format dxfId="828">
      <pivotArea outline="0" collapsedLevelsAreSubtotals="1" fieldPosition="0"/>
    </format>
    <format dxfId="829">
      <pivotArea field="1" type="button" dataOnly="0" labelOnly="1" outline="0" axis="axisRow" fieldPosition="0"/>
    </format>
    <format dxfId="830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83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32">
      <pivotArea type="all" dataOnly="0" outline="0" fieldPosition="0"/>
    </format>
    <format dxfId="833">
      <pivotArea outline="0" collapsedLevelsAreSubtotals="1" fieldPosition="0"/>
    </format>
    <format dxfId="834">
      <pivotArea field="1" type="button" dataOnly="0" labelOnly="1" outline="0" axis="axisRow" fieldPosition="0"/>
    </format>
    <format dxfId="835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83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37">
      <pivotArea type="all" dataOnly="0" outline="0" fieldPosition="0"/>
    </format>
    <format dxfId="838">
      <pivotArea outline="0" collapsedLevelsAreSubtotals="1" fieldPosition="0"/>
    </format>
    <format dxfId="839">
      <pivotArea field="1" type="button" dataOnly="0" labelOnly="1" outline="0" axis="axisRow" fieldPosition="0"/>
    </format>
    <format dxfId="840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8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42">
      <pivotArea type="all" dataOnly="0" outline="0" fieldPosition="0"/>
    </format>
    <format dxfId="843">
      <pivotArea outline="0" collapsedLevelsAreSubtotals="1" fieldPosition="0"/>
    </format>
    <format dxfId="844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845">
      <pivotArea field="1" type="button" dataOnly="0" labelOnly="1" outline="0" axis="axisRow" fieldPosition="0"/>
    </format>
    <format dxfId="84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47">
      <pivotArea type="all" dataOnly="0" outline="0" fieldPosition="0"/>
    </format>
    <format dxfId="848">
      <pivotArea outline="0" collapsedLevelsAreSubtotals="1" fieldPosition="0"/>
    </format>
    <format dxfId="849">
      <pivotArea field="1" type="button" dataOnly="0" labelOnly="1" outline="0" axis="axisRow" fieldPosition="0"/>
    </format>
    <format dxfId="850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85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52">
      <pivotArea type="all" dataOnly="0" outline="0" fieldPosition="0"/>
    </format>
    <format dxfId="853">
      <pivotArea outline="0" collapsedLevelsAreSubtotals="1" fieldPosition="0"/>
    </format>
    <format dxfId="854">
      <pivotArea field="1" type="button" dataOnly="0" labelOnly="1" outline="0" axis="axisRow" fieldPosition="0"/>
    </format>
    <format dxfId="855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85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Medium11" showRowHeaders="1" showColHeaders="1" showRowStripes="0" showColStripes="0" showLastColumn="1"/>
  <filters count="1">
    <filter fld="1" type="valueGreaterThan" evalOrder="-1" id="1" iMeasureFld="0">
      <autoFilter ref="A1">
        <filterColumn colId="0">
          <customFilters>
            <customFilter operator="greaterThan" val="1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E750DD-9749-46DA-8D26-884806D22E97}" name="Tabela dinâmica9" cacheId="75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2" rowHeaderCaption="Responsável" colHeaderCaption=".">
  <location ref="AD24:AG26" firstHeaderRow="0" firstDataRow="1" firstDataCol="1" rowPageCount="1" colPageCount="1"/>
  <pivotFields count="19">
    <pivotField showAll="0" defaultSubtotal="0"/>
    <pivotField axis="axisRow" showAll="0" sortType="descending" defaultSubtotal="0">
      <items count="13">
        <item h="1" x="11"/>
        <item x="5"/>
        <item x="3"/>
        <item h="1" x="6"/>
        <item h="1" x="9"/>
        <item h="1" x="0"/>
        <item h="1" x="7"/>
        <item h="1" x="1"/>
        <item h="1" x="4"/>
        <item h="1" x="2"/>
        <item h="1" x="8"/>
        <item h="1" x="12"/>
        <item h="1" x="1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axis="axisPage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21"/>
        <item x="12"/>
        <item x="13"/>
        <item x="14"/>
        <item x="15"/>
        <item x="16"/>
        <item x="18"/>
        <item x="20"/>
        <item x="17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>
      <items count="7">
        <item m="1" x="6"/>
        <item x="2"/>
        <item x="4"/>
        <item x="1"/>
        <item x="3"/>
        <item x="0"/>
        <item h="1" x="5"/>
      </items>
    </pivotField>
  </pivotFields>
  <rowFields count="1">
    <field x="1"/>
  </rowFields>
  <rowItems count="2">
    <i>
      <x v="2"/>
    </i>
    <i>
      <x v="1"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VALOR" fld="4" baseField="0" baseItem="0"/>
    <dataField name="QTD" fld="18" subtotal="count" baseField="0" baseItem="0"/>
    <dataField name="KMs" fld="3" baseField="0" baseItem="0" numFmtId="1"/>
  </dataFields>
  <formats count="57">
    <format dxfId="745">
      <pivotArea type="all" dataOnly="0" outline="0" fieldPosition="0"/>
    </format>
    <format dxfId="746">
      <pivotArea outline="0" collapsedLevelsAreSubtotals="1" fieldPosition="0"/>
    </format>
    <format dxfId="747">
      <pivotArea type="origin" dataOnly="0" labelOnly="1" outline="0" fieldPosition="0"/>
    </format>
    <format dxfId="748">
      <pivotArea field="18" type="button" dataOnly="0" labelOnly="1" outline="0"/>
    </format>
    <format dxfId="749">
      <pivotArea type="topRight" dataOnly="0" labelOnly="1" outline="0" fieldPosition="0"/>
    </format>
    <format dxfId="750">
      <pivotArea field="-2" type="button" dataOnly="0" labelOnly="1" outline="0" axis="axisCol" fieldPosition="0"/>
    </format>
    <format dxfId="751">
      <pivotArea dataOnly="0" labelOnly="1" grandCol="1" outline="0" fieldPosition="0"/>
    </format>
    <format dxfId="752">
      <pivotArea type="all" dataOnly="0" outline="0" fieldPosition="0"/>
    </format>
    <format dxfId="753">
      <pivotArea outline="0" collapsedLevelsAreSubtotals="1" fieldPosition="0"/>
    </format>
    <format dxfId="754">
      <pivotArea type="origin" dataOnly="0" labelOnly="1" outline="0" fieldPosition="0"/>
    </format>
    <format dxfId="755">
      <pivotArea field="18" type="button" dataOnly="0" labelOnly="1" outline="0"/>
    </format>
    <format dxfId="756">
      <pivotArea type="topRight" dataOnly="0" labelOnly="1" outline="0" fieldPosition="0"/>
    </format>
    <format dxfId="757">
      <pivotArea field="-2" type="button" dataOnly="0" labelOnly="1" outline="0" axis="axisCol" fieldPosition="0"/>
    </format>
    <format dxfId="758">
      <pivotArea dataOnly="0" labelOnly="1" grandCol="1" outline="0" fieldPosition="0"/>
    </format>
    <format dxfId="759">
      <pivotArea outline="0" collapsedLevelsAreSubtotals="1" fieldPosition="0"/>
    </format>
    <format dxfId="760">
      <pivotArea grandCol="1" outline="0" collapsedLevelsAreSubtotals="1" fieldPosition="0"/>
    </format>
    <format dxfId="761">
      <pivotArea dataOnly="0" labelOnly="1" grandCol="1" outline="0" fieldPosition="0"/>
    </format>
    <format dxfId="762">
      <pivotArea grandCol="1" outline="0" collapsedLevelsAreSubtotals="1" fieldPosition="0"/>
    </format>
    <format dxfId="763">
      <pivotArea collapsedLevelsAreSubtotals="1" fieldPosition="0">
        <references count="1">
          <reference field="4294967294" count="1">
            <x v="1"/>
          </reference>
        </references>
      </pivotArea>
    </format>
    <format dxfId="76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5">
      <pivotArea type="all" dataOnly="0" outline="0" fieldPosition="0"/>
    </format>
    <format dxfId="766">
      <pivotArea outline="0" collapsedLevelsAreSubtotals="1" fieldPosition="0"/>
    </format>
    <format dxfId="767">
      <pivotArea field="1" type="button" dataOnly="0" labelOnly="1" outline="0" axis="axisRow" fieldPosition="0"/>
    </format>
    <format dxfId="768">
      <pivotArea dataOnly="0" labelOnly="1" fieldPosition="0">
        <references count="1">
          <reference field="1" count="8"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769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770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771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772">
      <pivotArea type="all" dataOnly="0" outline="0" fieldPosition="0"/>
    </format>
    <format dxfId="773">
      <pivotArea outline="0" collapsedLevelsAreSubtotals="1" fieldPosition="0"/>
    </format>
    <format dxfId="774">
      <pivotArea field="1" type="button" dataOnly="0" labelOnly="1" outline="0" axis="axisRow" fieldPosition="0"/>
    </format>
    <format dxfId="775">
      <pivotArea dataOnly="0" labelOnly="1" fieldPosition="0">
        <references count="1">
          <reference field="1" count="0"/>
        </references>
      </pivotArea>
    </format>
    <format dxfId="77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77">
      <pivotArea type="all" dataOnly="0" outline="0" fieldPosition="0"/>
    </format>
    <format dxfId="778">
      <pivotArea outline="0" collapsedLevelsAreSubtotals="1" fieldPosition="0"/>
    </format>
    <format dxfId="779">
      <pivotArea field="1" type="button" dataOnly="0" labelOnly="1" outline="0" axis="axisRow" fieldPosition="0"/>
    </format>
    <format dxfId="780">
      <pivotArea dataOnly="0" labelOnly="1" fieldPosition="0">
        <references count="1">
          <reference field="1" count="0"/>
        </references>
      </pivotArea>
    </format>
    <format dxfId="78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82">
      <pivotArea type="all" dataOnly="0" outline="0" fieldPosition="0"/>
    </format>
    <format dxfId="783">
      <pivotArea outline="0" collapsedLevelsAreSubtotals="1" fieldPosition="0"/>
    </format>
    <format dxfId="784">
      <pivotArea field="1" type="button" dataOnly="0" labelOnly="1" outline="0" axis="axisRow" fieldPosition="0"/>
    </format>
    <format dxfId="785">
      <pivotArea dataOnly="0" labelOnly="1" fieldPosition="0">
        <references count="1">
          <reference field="1" count="0"/>
        </references>
      </pivotArea>
    </format>
    <format dxfId="78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87">
      <pivotArea type="all" dataOnly="0" outline="0" fieldPosition="0"/>
    </format>
    <format dxfId="788">
      <pivotArea outline="0" collapsedLevelsAreSubtotals="1" fieldPosition="0"/>
    </format>
    <format dxfId="789">
      <pivotArea dataOnly="0" labelOnly="1" fieldPosition="0">
        <references count="1">
          <reference field="1" count="0"/>
        </references>
      </pivotArea>
    </format>
    <format dxfId="790">
      <pivotArea field="1" type="button" dataOnly="0" labelOnly="1" outline="0" axis="axisRow" fieldPosition="0"/>
    </format>
    <format dxfId="79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92">
      <pivotArea type="all" dataOnly="0" outline="0" fieldPosition="0"/>
    </format>
    <format dxfId="793">
      <pivotArea outline="0" collapsedLevelsAreSubtotals="1" fieldPosition="0"/>
    </format>
    <format dxfId="794">
      <pivotArea field="1" type="button" dataOnly="0" labelOnly="1" outline="0" axis="axisRow" fieldPosition="0"/>
    </format>
    <format dxfId="795">
      <pivotArea dataOnly="0" labelOnly="1" fieldPosition="0">
        <references count="1">
          <reference field="1" count="0"/>
        </references>
      </pivotArea>
    </format>
    <format dxfId="7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97">
      <pivotArea type="all" dataOnly="0" outline="0" fieldPosition="0"/>
    </format>
    <format dxfId="798">
      <pivotArea outline="0" collapsedLevelsAreSubtotals="1" fieldPosition="0"/>
    </format>
    <format dxfId="799">
      <pivotArea field="1" type="button" dataOnly="0" labelOnly="1" outline="0" axis="axisRow" fieldPosition="0"/>
    </format>
    <format dxfId="800">
      <pivotArea dataOnly="0" labelOnly="1" fieldPosition="0">
        <references count="1">
          <reference field="1" count="0"/>
        </references>
      </pivotArea>
    </format>
    <format dxfId="8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65915C-3537-4330-A8F5-0FAB26CD350C}" name="Tabela dinâmica8" cacheId="753" dataOnRows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olHeaderCaption=".">
  <location ref="B29:G34" firstHeaderRow="1" firstDataRow="2" firstDataCol="1" rowPageCount="1" colPageCount="1"/>
  <pivotFields count="19"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axis="axisPage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21"/>
        <item x="12"/>
        <item x="13"/>
        <item x="14"/>
        <item x="15"/>
        <item x="16"/>
        <item x="18"/>
        <item x="20"/>
        <item x="17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Col" showAll="0" defaultSubtotal="0">
      <items count="7">
        <item m="1" x="6"/>
        <item x="2"/>
        <item x="4"/>
        <item x="1"/>
        <item x="3"/>
        <item x="0"/>
        <item h="1" x="5"/>
      </items>
    </pivotField>
  </pivotFields>
  <rowFields count="1">
    <field x="-2"/>
  </rowFields>
  <rowItems count="4">
    <i>
      <x/>
    </i>
    <i i="1">
      <x v="1"/>
    </i>
    <i i="2">
      <x v="2"/>
    </i>
    <i i="3">
      <x v="3"/>
    </i>
  </rowItems>
  <colFields count="1">
    <field x="18"/>
  </colFields>
  <colItems count="5">
    <i>
      <x v="1"/>
    </i>
    <i>
      <x v="2"/>
    </i>
    <i>
      <x v="3"/>
    </i>
    <i>
      <x v="4"/>
    </i>
    <i>
      <x v="5"/>
    </i>
  </colItems>
  <pageFields count="1">
    <pageField fld="7" hier="-1"/>
  </pageFields>
  <dataFields count="4">
    <dataField name="Media Proprio" fld="4" subtotal="average" baseField="18" baseItem="0"/>
    <dataField name="Media Terceiro" fld="5" subtotal="average" baseField="18" baseItem="0"/>
    <dataField name="Qtd Proprio" fld="4" subtotal="count" baseField="18" baseItem="0"/>
    <dataField name="Qtd Terceiro" fld="5" subtotal="count" baseField="18" baseItem="0"/>
  </dataFields>
  <formats count="74">
    <format dxfId="671">
      <pivotArea type="all" dataOnly="0" outline="0" fieldPosition="0"/>
    </format>
    <format dxfId="672">
      <pivotArea outline="0" collapsedLevelsAreSubtotals="1" fieldPosition="0"/>
    </format>
    <format dxfId="673">
      <pivotArea type="origin" dataOnly="0" labelOnly="1" outline="0" fieldPosition="0"/>
    </format>
    <format dxfId="674">
      <pivotArea field="18" type="button" dataOnly="0" labelOnly="1" outline="0" axis="axisCol" fieldPosition="0"/>
    </format>
    <format dxfId="675">
      <pivotArea type="topRight" dataOnly="0" labelOnly="1" outline="0" fieldPosition="0"/>
    </format>
    <format dxfId="676">
      <pivotArea field="-2" type="button" dataOnly="0" labelOnly="1" outline="0" axis="axisRow" fieldPosition="0"/>
    </format>
    <format dxfId="67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78">
      <pivotArea dataOnly="0" labelOnly="1" fieldPosition="0">
        <references count="1">
          <reference field="18" count="0"/>
        </references>
      </pivotArea>
    </format>
    <format dxfId="679">
      <pivotArea dataOnly="0" labelOnly="1" grandCol="1" outline="0" fieldPosition="0"/>
    </format>
    <format dxfId="680">
      <pivotArea type="all" dataOnly="0" outline="0" fieldPosition="0"/>
    </format>
    <format dxfId="681">
      <pivotArea outline="0" collapsedLevelsAreSubtotals="1" fieldPosition="0"/>
    </format>
    <format dxfId="682">
      <pivotArea type="origin" dataOnly="0" labelOnly="1" outline="0" fieldPosition="0"/>
    </format>
    <format dxfId="683">
      <pivotArea field="18" type="button" dataOnly="0" labelOnly="1" outline="0" axis="axisCol" fieldPosition="0"/>
    </format>
    <format dxfId="684">
      <pivotArea type="topRight" dataOnly="0" labelOnly="1" outline="0" fieldPosition="0"/>
    </format>
    <format dxfId="685">
      <pivotArea field="-2" type="button" dataOnly="0" labelOnly="1" outline="0" axis="axisRow" fieldPosition="0"/>
    </format>
    <format dxfId="68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7">
      <pivotArea dataOnly="0" labelOnly="1" fieldPosition="0">
        <references count="1">
          <reference field="18" count="0"/>
        </references>
      </pivotArea>
    </format>
    <format dxfId="688">
      <pivotArea dataOnly="0" labelOnly="1" grandCol="1" outline="0" fieldPosition="0"/>
    </format>
    <format dxfId="689">
      <pivotArea outline="0" collapsedLevelsAreSubtotals="1" fieldPosition="0"/>
    </format>
    <format dxfId="690">
      <pivotArea grandCol="1" outline="0" collapsedLevelsAreSubtotals="1" fieldPosition="0"/>
    </format>
    <format dxfId="691">
      <pivotArea dataOnly="0" labelOnly="1" grandCol="1" outline="0" fieldPosition="0"/>
    </format>
    <format dxfId="692">
      <pivotArea grandCol="1" outline="0" collapsedLevelsAreSubtotals="1" fieldPosition="0"/>
    </format>
    <format dxfId="693">
      <pivotArea collapsedLevelsAreSubtotals="1" fieldPosition="0">
        <references count="2">
          <reference field="4294967294" count="2">
            <x v="2"/>
            <x v="3"/>
          </reference>
          <reference field="18" count="5" selected="0">
            <x v="1"/>
            <x v="2"/>
            <x v="3"/>
            <x v="4"/>
            <x v="5"/>
          </reference>
        </references>
      </pivotArea>
    </format>
    <format dxfId="694">
      <pivotArea collapsedLevelsAreSubtotals="1" fieldPosition="0">
        <references count="2">
          <reference field="4294967294" count="2">
            <x v="2"/>
            <x v="3"/>
          </reference>
          <reference field="18" count="5" selected="0">
            <x v="1"/>
            <x v="2"/>
            <x v="3"/>
            <x v="4"/>
            <x v="5"/>
          </reference>
        </references>
      </pivotArea>
    </format>
    <format dxfId="695">
      <pivotArea collapsedLevelsAreSubtotals="1" fieldPosition="0">
        <references count="2">
          <reference field="4294967294" count="1">
            <x v="3"/>
          </reference>
          <reference field="18" count="1" selected="0">
            <x v="0"/>
          </reference>
        </references>
      </pivotArea>
    </format>
    <format dxfId="696">
      <pivotArea outline="0" collapsedLevelsAreSubtotals="1" fieldPosition="0"/>
    </format>
    <format dxfId="697">
      <pivotArea type="all" dataOnly="0" outline="0" fieldPosition="0"/>
    </format>
    <format dxfId="698">
      <pivotArea outline="0" collapsedLevelsAreSubtotals="1" fieldPosition="0"/>
    </format>
    <format dxfId="699">
      <pivotArea type="origin" dataOnly="0" labelOnly="1" outline="0" fieldPosition="0"/>
    </format>
    <format dxfId="700">
      <pivotArea field="18" type="button" dataOnly="0" labelOnly="1" outline="0" axis="axisCol" fieldPosition="0"/>
    </format>
    <format dxfId="701">
      <pivotArea type="topRight" dataOnly="0" labelOnly="1" outline="0" fieldPosition="0"/>
    </format>
    <format dxfId="702">
      <pivotArea field="-2" type="button" dataOnly="0" labelOnly="1" outline="0" axis="axisRow" fieldPosition="0"/>
    </format>
    <format dxfId="70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04">
      <pivotArea dataOnly="0" labelOnly="1" fieldPosition="0">
        <references count="1">
          <reference field="18" count="0"/>
        </references>
      </pivotArea>
    </format>
    <format dxfId="705">
      <pivotArea type="all" dataOnly="0" outline="0" fieldPosition="0"/>
    </format>
    <format dxfId="706">
      <pivotArea outline="0" collapsedLevelsAreSubtotals="1" fieldPosition="0"/>
    </format>
    <format dxfId="707">
      <pivotArea type="origin" dataOnly="0" labelOnly="1" outline="0" fieldPosition="0"/>
    </format>
    <format dxfId="708">
      <pivotArea field="18" type="button" dataOnly="0" labelOnly="1" outline="0" axis="axisCol" fieldPosition="0"/>
    </format>
    <format dxfId="709">
      <pivotArea type="topRight" dataOnly="0" labelOnly="1" outline="0" fieldPosition="0"/>
    </format>
    <format dxfId="710">
      <pivotArea field="-2" type="button" dataOnly="0" labelOnly="1" outline="0" axis="axisRow" fieldPosition="0"/>
    </format>
    <format dxfId="71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12">
      <pivotArea dataOnly="0" labelOnly="1" fieldPosition="0">
        <references count="1">
          <reference field="18" count="0"/>
        </references>
      </pivotArea>
    </format>
    <format dxfId="713">
      <pivotArea type="all" dataOnly="0" outline="0" fieldPosition="0"/>
    </format>
    <format dxfId="714">
      <pivotArea outline="0" collapsedLevelsAreSubtotals="1" fieldPosition="0"/>
    </format>
    <format dxfId="715">
      <pivotArea type="origin" dataOnly="0" labelOnly="1" outline="0" fieldPosition="0"/>
    </format>
    <format dxfId="716">
      <pivotArea field="18" type="button" dataOnly="0" labelOnly="1" outline="0" axis="axisCol" fieldPosition="0"/>
    </format>
    <format dxfId="717">
      <pivotArea type="topRight" dataOnly="0" labelOnly="1" outline="0" fieldPosition="0"/>
    </format>
    <format dxfId="718">
      <pivotArea field="-2" type="button" dataOnly="0" labelOnly="1" outline="0" axis="axisRow" fieldPosition="0"/>
    </format>
    <format dxfId="71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20">
      <pivotArea dataOnly="0" labelOnly="1" fieldPosition="0">
        <references count="1">
          <reference field="18" count="0"/>
        </references>
      </pivotArea>
    </format>
    <format dxfId="721">
      <pivotArea type="all" dataOnly="0" outline="0" fieldPosition="0"/>
    </format>
    <format dxfId="722">
      <pivotArea outline="0" collapsedLevelsAreSubtotals="1" fieldPosition="0"/>
    </format>
    <format dxfId="723">
      <pivotArea field="-2" type="button" dataOnly="0" labelOnly="1" outline="0" axis="axisRow" fieldPosition="0"/>
    </format>
    <format dxfId="72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25">
      <pivotArea dataOnly="0" labelOnly="1" fieldPosition="0">
        <references count="1">
          <reference field="18" count="0"/>
        </references>
      </pivotArea>
    </format>
    <format dxfId="726">
      <pivotArea type="origin" dataOnly="0" labelOnly="1" outline="0" fieldPosition="0"/>
    </format>
    <format dxfId="727">
      <pivotArea field="18" type="button" dataOnly="0" labelOnly="1" outline="0" axis="axisCol" fieldPosition="0"/>
    </format>
    <format dxfId="728">
      <pivotArea type="topRight" dataOnly="0" labelOnly="1" outline="0" fieldPosition="0"/>
    </format>
    <format dxfId="729">
      <pivotArea type="all" dataOnly="0" outline="0" fieldPosition="0"/>
    </format>
    <format dxfId="730">
      <pivotArea outline="0" collapsedLevelsAreSubtotals="1" fieldPosition="0"/>
    </format>
    <format dxfId="731">
      <pivotArea type="origin" dataOnly="0" labelOnly="1" outline="0" fieldPosition="0"/>
    </format>
    <format dxfId="732">
      <pivotArea field="18" type="button" dataOnly="0" labelOnly="1" outline="0" axis="axisCol" fieldPosition="0"/>
    </format>
    <format dxfId="733">
      <pivotArea type="topRight" dataOnly="0" labelOnly="1" outline="0" fieldPosition="0"/>
    </format>
    <format dxfId="734">
      <pivotArea field="-2" type="button" dataOnly="0" labelOnly="1" outline="0" axis="axisRow" fieldPosition="0"/>
    </format>
    <format dxfId="73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36">
      <pivotArea dataOnly="0" labelOnly="1" fieldPosition="0">
        <references count="1">
          <reference field="18" count="0"/>
        </references>
      </pivotArea>
    </format>
    <format dxfId="737">
      <pivotArea type="all" dataOnly="0" outline="0" fieldPosition="0"/>
    </format>
    <format dxfId="738">
      <pivotArea outline="0" collapsedLevelsAreSubtotals="1" fieldPosition="0"/>
    </format>
    <format dxfId="739">
      <pivotArea type="origin" dataOnly="0" labelOnly="1" outline="0" fieldPosition="0"/>
    </format>
    <format dxfId="740">
      <pivotArea field="18" type="button" dataOnly="0" labelOnly="1" outline="0" axis="axisCol" fieldPosition="0"/>
    </format>
    <format dxfId="741">
      <pivotArea type="topRight" dataOnly="0" labelOnly="1" outline="0" fieldPosition="0"/>
    </format>
    <format dxfId="742">
      <pivotArea field="-2" type="button" dataOnly="0" labelOnly="1" outline="0" axis="axisRow" fieldPosition="0"/>
    </format>
    <format dxfId="74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44">
      <pivotArea dataOnly="0" labelOnly="1" fieldPosition="0">
        <references count="1">
          <reference field="18" count="0"/>
        </references>
      </pivotArea>
    </format>
  </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35E10-EB60-4AE1-9088-E92FA38CFF2E}" name="G08" cacheId="74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8" rowHeaderCaption="TRANSPORTADORA">
  <location ref="X4:Y8" firstHeaderRow="1" firstDataRow="1" firstDataCol="1" rowPageCount="2" colPageCount="1"/>
  <pivotFields count="7">
    <pivotField axis="axisPage" multipleItemSelectionAllowed="1" showAll="0">
      <items count="21">
        <item h="1" m="1" x="16"/>
        <item h="1" x="8"/>
        <item h="1" x="12"/>
        <item h="1" x="9"/>
        <item h="1" x="10"/>
        <item h="1" x="6"/>
        <item h="1" m="1" x="19"/>
        <item h="1" x="4"/>
        <item x="2"/>
        <item h="1" m="1" x="18"/>
        <item h="1" m="1" x="17"/>
        <item h="1" x="5"/>
        <item h="1" x="15"/>
        <item h="1" x="3"/>
        <item h="1" x="0"/>
        <item h="1" x="7"/>
        <item h="1" x="1"/>
        <item h="1" x="14"/>
        <item h="1" x="13"/>
        <item h="1" x="11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4"/>
        <item x="9"/>
        <item x="13"/>
        <item x="15"/>
        <item x="16"/>
        <item x="18"/>
        <item x="11"/>
        <item x="12"/>
        <item x="17"/>
        <item t="default"/>
      </items>
    </pivotField>
    <pivotField showAll="0"/>
    <pivotField showAll="0"/>
    <pivotField axis="axisRow" showAll="0" sortType="descending">
      <items count="33">
        <item x="22"/>
        <item x="13"/>
        <item x="4"/>
        <item x="16"/>
        <item x="6"/>
        <item x="1"/>
        <item x="0"/>
        <item x="3"/>
        <item x="2"/>
        <item x="25"/>
        <item x="27"/>
        <item x="23"/>
        <item x="7"/>
        <item x="14"/>
        <item x="15"/>
        <item x="20"/>
        <item x="9"/>
        <item x="18"/>
        <item x="21"/>
        <item x="19"/>
        <item x="24"/>
        <item x="26"/>
        <item x="10"/>
        <item x="12"/>
        <item x="8"/>
        <item x="28"/>
        <item x="5"/>
        <item x="17"/>
        <item x="11"/>
        <item x="29"/>
        <item x="31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5"/>
  </rowFields>
  <rowItems count="4">
    <i>
      <x v="3"/>
    </i>
    <i>
      <x v="8"/>
    </i>
    <i>
      <x v="22"/>
    </i>
    <i>
      <x v="27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36">
    <format dxfId="635">
      <pivotArea outline="0" collapsedLevelsAreSubtotals="1" fieldPosition="0"/>
    </format>
    <format dxfId="636">
      <pivotArea dataOnly="0" labelOnly="1" outline="0" axis="axisValues" fieldPosition="0"/>
    </format>
    <format dxfId="637">
      <pivotArea type="all" dataOnly="0" outline="0" fieldPosition="0"/>
    </format>
    <format dxfId="638">
      <pivotArea outline="0" collapsedLevelsAreSubtotals="1" fieldPosition="0"/>
    </format>
    <format dxfId="639">
      <pivotArea field="5" type="button" dataOnly="0" labelOnly="1" outline="0" axis="axisRow" fieldPosition="0"/>
    </format>
    <format dxfId="640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641">
      <pivotArea dataOnly="0" labelOnly="1" grandRow="1" outline="0" fieldPosition="0"/>
    </format>
    <format dxfId="642">
      <pivotArea dataOnly="0" labelOnly="1" outline="0" axis="axisValues" fieldPosition="0"/>
    </format>
    <format dxfId="643">
      <pivotArea type="all" dataOnly="0" outline="0" fieldPosition="0"/>
    </format>
    <format dxfId="644">
      <pivotArea outline="0" collapsedLevelsAreSubtotals="1" fieldPosition="0"/>
    </format>
    <format dxfId="645">
      <pivotArea field="5" type="button" dataOnly="0" labelOnly="1" outline="0" axis="axisRow" fieldPosition="0"/>
    </format>
    <format dxfId="646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647">
      <pivotArea dataOnly="0" labelOnly="1" grandRow="1" outline="0" fieldPosition="0"/>
    </format>
    <format dxfId="648">
      <pivotArea dataOnly="0" labelOnly="1" outline="0" axis="axisValues" fieldPosition="0"/>
    </format>
    <format dxfId="649">
      <pivotArea type="all" dataOnly="0" outline="0" fieldPosition="0"/>
    </format>
    <format dxfId="650">
      <pivotArea outline="0" collapsedLevelsAreSubtotals="1" fieldPosition="0"/>
    </format>
    <format dxfId="651">
      <pivotArea field="5" type="button" dataOnly="0" labelOnly="1" outline="0" axis="axisRow" fieldPosition="0"/>
    </format>
    <format dxfId="652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653">
      <pivotArea dataOnly="0" labelOnly="1" grandRow="1" outline="0" fieldPosition="0"/>
    </format>
    <format dxfId="654">
      <pivotArea dataOnly="0" labelOnly="1" outline="0" axis="axisValues" fieldPosition="0"/>
    </format>
    <format dxfId="655">
      <pivotArea type="all" dataOnly="0" outline="0" fieldPosition="0"/>
    </format>
    <format dxfId="656">
      <pivotArea outline="0" collapsedLevelsAreSubtotals="1" fieldPosition="0"/>
    </format>
    <format dxfId="657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658">
      <pivotArea dataOnly="0" labelOnly="1" grandRow="1" outline="0" fieldPosition="0"/>
    </format>
    <format dxfId="659">
      <pivotArea field="5" type="button" dataOnly="0" labelOnly="1" outline="0" axis="axisRow" fieldPosition="0"/>
    </format>
    <format dxfId="660">
      <pivotArea dataOnly="0" labelOnly="1" outline="0" axis="axisValues" fieldPosition="0"/>
    </format>
    <format dxfId="661">
      <pivotArea type="all" dataOnly="0" outline="0" fieldPosition="0"/>
    </format>
    <format dxfId="662">
      <pivotArea outline="0" collapsedLevelsAreSubtotals="1" fieldPosition="0"/>
    </format>
    <format dxfId="663">
      <pivotArea field="5" type="button" dataOnly="0" labelOnly="1" outline="0" axis="axisRow" fieldPosition="0"/>
    </format>
    <format dxfId="664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665">
      <pivotArea dataOnly="0" labelOnly="1" outline="0" axis="axisValues" fieldPosition="0"/>
    </format>
    <format dxfId="666">
      <pivotArea type="all" dataOnly="0" outline="0" fieldPosition="0"/>
    </format>
    <format dxfId="667">
      <pivotArea outline="0" collapsedLevelsAreSubtotals="1" fieldPosition="0"/>
    </format>
    <format dxfId="668">
      <pivotArea field="5" type="button" dataOnly="0" labelOnly="1" outline="0" axis="axisRow" fieldPosition="0"/>
    </format>
    <format dxfId="669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670">
      <pivotArea dataOnly="0" labelOnly="1" outline="0" axis="axisValues" fieldPosition="0"/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6B5C1B-EB0D-4195-886D-C6E9EA4FE0C6}" name="baseG01" cacheId="753" dataOnRows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olHeaderCaption=".">
  <location ref="B9:G14" firstHeaderRow="1" firstDataRow="2" firstDataCol="1" rowPageCount="1" colPageCount="1"/>
  <pivotFields count="19"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axis="axisPage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21"/>
        <item x="12"/>
        <item x="13"/>
        <item x="14"/>
        <item x="15"/>
        <item x="16"/>
        <item x="18"/>
        <item x="20"/>
        <item x="17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Col" showAll="0" defaultSubtotal="0">
      <items count="7">
        <item m="1" x="6"/>
        <item x="2"/>
        <item x="4"/>
        <item x="1"/>
        <item x="3"/>
        <item x="0"/>
        <item h="1" x="5"/>
      </items>
    </pivotField>
  </pivotFields>
  <rowFields count="1">
    <field x="-2"/>
  </rowFields>
  <rowItems count="4">
    <i>
      <x/>
    </i>
    <i i="1">
      <x v="1"/>
    </i>
    <i i="2">
      <x v="2"/>
    </i>
    <i i="3">
      <x v="3"/>
    </i>
  </rowItems>
  <colFields count="1">
    <field x="18"/>
  </colFields>
  <colItems count="5">
    <i>
      <x v="1"/>
    </i>
    <i>
      <x v="2"/>
    </i>
    <i>
      <x v="3"/>
    </i>
    <i>
      <x v="4"/>
    </i>
    <i>
      <x v="5"/>
    </i>
  </colItems>
  <pageFields count="1">
    <pageField fld="7" hier="-1"/>
  </pageFields>
  <dataFields count="4">
    <dataField name="Media Proprio" fld="4" subtotal="average" baseField="18" baseItem="0"/>
    <dataField name="Media Terceiro" fld="5" subtotal="average" baseField="18" baseItem="0"/>
    <dataField name="Qtd Proprio" fld="4" subtotal="count" baseField="18" baseItem="0"/>
    <dataField name="Qtd Terceiro" fld="5" subtotal="count" baseField="18" baseItem="0"/>
  </dataFields>
  <formats count="74">
    <format dxfId="561">
      <pivotArea type="all" dataOnly="0" outline="0" fieldPosition="0"/>
    </format>
    <format dxfId="562">
      <pivotArea outline="0" collapsedLevelsAreSubtotals="1" fieldPosition="0"/>
    </format>
    <format dxfId="563">
      <pivotArea type="origin" dataOnly="0" labelOnly="1" outline="0" fieldPosition="0"/>
    </format>
    <format dxfId="564">
      <pivotArea field="18" type="button" dataOnly="0" labelOnly="1" outline="0" axis="axisCol" fieldPosition="0"/>
    </format>
    <format dxfId="565">
      <pivotArea type="topRight" dataOnly="0" labelOnly="1" outline="0" fieldPosition="0"/>
    </format>
    <format dxfId="566">
      <pivotArea field="-2" type="button" dataOnly="0" labelOnly="1" outline="0" axis="axisRow" fieldPosition="0"/>
    </format>
    <format dxfId="5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68">
      <pivotArea dataOnly="0" labelOnly="1" fieldPosition="0">
        <references count="1">
          <reference field="18" count="0"/>
        </references>
      </pivotArea>
    </format>
    <format dxfId="569">
      <pivotArea dataOnly="0" labelOnly="1" grandCol="1" outline="0" fieldPosition="0"/>
    </format>
    <format dxfId="570">
      <pivotArea type="all" dataOnly="0" outline="0" fieldPosition="0"/>
    </format>
    <format dxfId="571">
      <pivotArea outline="0" collapsedLevelsAreSubtotals="1" fieldPosition="0"/>
    </format>
    <format dxfId="572">
      <pivotArea type="origin" dataOnly="0" labelOnly="1" outline="0" fieldPosition="0"/>
    </format>
    <format dxfId="573">
      <pivotArea field="18" type="button" dataOnly="0" labelOnly="1" outline="0" axis="axisCol" fieldPosition="0"/>
    </format>
    <format dxfId="574">
      <pivotArea type="topRight" dataOnly="0" labelOnly="1" outline="0" fieldPosition="0"/>
    </format>
    <format dxfId="575">
      <pivotArea field="-2" type="button" dataOnly="0" labelOnly="1" outline="0" axis="axisRow" fieldPosition="0"/>
    </format>
    <format dxfId="57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77">
      <pivotArea dataOnly="0" labelOnly="1" fieldPosition="0">
        <references count="1">
          <reference field="18" count="0"/>
        </references>
      </pivotArea>
    </format>
    <format dxfId="578">
      <pivotArea dataOnly="0" labelOnly="1" grandCol="1" outline="0" fieldPosition="0"/>
    </format>
    <format dxfId="579">
      <pivotArea outline="0" collapsedLevelsAreSubtotals="1" fieldPosition="0"/>
    </format>
    <format dxfId="580">
      <pivotArea grandCol="1" outline="0" collapsedLevelsAreSubtotals="1" fieldPosition="0"/>
    </format>
    <format dxfId="581">
      <pivotArea dataOnly="0" labelOnly="1" grandCol="1" outline="0" fieldPosition="0"/>
    </format>
    <format dxfId="582">
      <pivotArea grandCol="1" outline="0" collapsedLevelsAreSubtotals="1" fieldPosition="0"/>
    </format>
    <format dxfId="583">
      <pivotArea collapsedLevelsAreSubtotals="1" fieldPosition="0">
        <references count="2">
          <reference field="4294967294" count="2">
            <x v="2"/>
            <x v="3"/>
          </reference>
          <reference field="18" count="5" selected="0">
            <x v="1"/>
            <x v="2"/>
            <x v="3"/>
            <x v="4"/>
            <x v="5"/>
          </reference>
        </references>
      </pivotArea>
    </format>
    <format dxfId="584">
      <pivotArea collapsedLevelsAreSubtotals="1" fieldPosition="0">
        <references count="2">
          <reference field="4294967294" count="2">
            <x v="2"/>
            <x v="3"/>
          </reference>
          <reference field="18" count="5" selected="0">
            <x v="1"/>
            <x v="2"/>
            <x v="3"/>
            <x v="4"/>
            <x v="5"/>
          </reference>
        </references>
      </pivotArea>
    </format>
    <format dxfId="585">
      <pivotArea collapsedLevelsAreSubtotals="1" fieldPosition="0">
        <references count="2">
          <reference field="4294967294" count="1">
            <x v="3"/>
          </reference>
          <reference field="18" count="1" selected="0">
            <x v="0"/>
          </reference>
        </references>
      </pivotArea>
    </format>
    <format dxfId="586">
      <pivotArea outline="0" collapsedLevelsAreSubtotals="1" fieldPosition="0"/>
    </format>
    <format dxfId="587">
      <pivotArea type="all" dataOnly="0" outline="0" fieldPosition="0"/>
    </format>
    <format dxfId="588">
      <pivotArea outline="0" collapsedLevelsAreSubtotals="1" fieldPosition="0"/>
    </format>
    <format dxfId="589">
      <pivotArea type="origin" dataOnly="0" labelOnly="1" outline="0" fieldPosition="0"/>
    </format>
    <format dxfId="590">
      <pivotArea field="18" type="button" dataOnly="0" labelOnly="1" outline="0" axis="axisCol" fieldPosition="0"/>
    </format>
    <format dxfId="591">
      <pivotArea type="topRight" dataOnly="0" labelOnly="1" outline="0" fieldPosition="0"/>
    </format>
    <format dxfId="592">
      <pivotArea field="-2" type="button" dataOnly="0" labelOnly="1" outline="0" axis="axisRow" fieldPosition="0"/>
    </format>
    <format dxfId="59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594">
      <pivotArea dataOnly="0" labelOnly="1" fieldPosition="0">
        <references count="1">
          <reference field="18" count="0"/>
        </references>
      </pivotArea>
    </format>
    <format dxfId="595">
      <pivotArea type="all" dataOnly="0" outline="0" fieldPosition="0"/>
    </format>
    <format dxfId="596">
      <pivotArea outline="0" collapsedLevelsAreSubtotals="1" fieldPosition="0"/>
    </format>
    <format dxfId="597">
      <pivotArea type="origin" dataOnly="0" labelOnly="1" outline="0" fieldPosition="0"/>
    </format>
    <format dxfId="598">
      <pivotArea field="18" type="button" dataOnly="0" labelOnly="1" outline="0" axis="axisCol" fieldPosition="0"/>
    </format>
    <format dxfId="599">
      <pivotArea type="topRight" dataOnly="0" labelOnly="1" outline="0" fieldPosition="0"/>
    </format>
    <format dxfId="600">
      <pivotArea field="-2" type="button" dataOnly="0" labelOnly="1" outline="0" axis="axisRow" fieldPosition="0"/>
    </format>
    <format dxfId="60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602">
      <pivotArea dataOnly="0" labelOnly="1" fieldPosition="0">
        <references count="1">
          <reference field="18" count="0"/>
        </references>
      </pivotArea>
    </format>
    <format dxfId="603">
      <pivotArea type="all" dataOnly="0" outline="0" fieldPosition="0"/>
    </format>
    <format dxfId="604">
      <pivotArea outline="0" collapsedLevelsAreSubtotals="1" fieldPosition="0"/>
    </format>
    <format dxfId="605">
      <pivotArea type="origin" dataOnly="0" labelOnly="1" outline="0" fieldPosition="0"/>
    </format>
    <format dxfId="606">
      <pivotArea field="18" type="button" dataOnly="0" labelOnly="1" outline="0" axis="axisCol" fieldPosition="0"/>
    </format>
    <format dxfId="607">
      <pivotArea type="topRight" dataOnly="0" labelOnly="1" outline="0" fieldPosition="0"/>
    </format>
    <format dxfId="608">
      <pivotArea field="-2" type="button" dataOnly="0" labelOnly="1" outline="0" axis="axisRow" fieldPosition="0"/>
    </format>
    <format dxfId="60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610">
      <pivotArea dataOnly="0" labelOnly="1" fieldPosition="0">
        <references count="1">
          <reference field="18" count="0"/>
        </references>
      </pivotArea>
    </format>
    <format dxfId="611">
      <pivotArea type="all" dataOnly="0" outline="0" fieldPosition="0"/>
    </format>
    <format dxfId="612">
      <pivotArea outline="0" collapsedLevelsAreSubtotals="1" fieldPosition="0"/>
    </format>
    <format dxfId="613">
      <pivotArea field="-2" type="button" dataOnly="0" labelOnly="1" outline="0" axis="axisRow" fieldPosition="0"/>
    </format>
    <format dxfId="61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615">
      <pivotArea dataOnly="0" labelOnly="1" fieldPosition="0">
        <references count="1">
          <reference field="18" count="0"/>
        </references>
      </pivotArea>
    </format>
    <format dxfId="616">
      <pivotArea type="origin" dataOnly="0" labelOnly="1" outline="0" fieldPosition="0"/>
    </format>
    <format dxfId="617">
      <pivotArea field="18" type="button" dataOnly="0" labelOnly="1" outline="0" axis="axisCol" fieldPosition="0"/>
    </format>
    <format dxfId="618">
      <pivotArea type="topRight" dataOnly="0" labelOnly="1" outline="0" fieldPosition="0"/>
    </format>
    <format dxfId="619">
      <pivotArea type="all" dataOnly="0" outline="0" fieldPosition="0"/>
    </format>
    <format dxfId="620">
      <pivotArea outline="0" collapsedLevelsAreSubtotals="1" fieldPosition="0"/>
    </format>
    <format dxfId="621">
      <pivotArea type="origin" dataOnly="0" labelOnly="1" outline="0" fieldPosition="0"/>
    </format>
    <format dxfId="622">
      <pivotArea field="18" type="button" dataOnly="0" labelOnly="1" outline="0" axis="axisCol" fieldPosition="0"/>
    </format>
    <format dxfId="623">
      <pivotArea type="topRight" dataOnly="0" labelOnly="1" outline="0" fieldPosition="0"/>
    </format>
    <format dxfId="624">
      <pivotArea field="-2" type="button" dataOnly="0" labelOnly="1" outline="0" axis="axisRow" fieldPosition="0"/>
    </format>
    <format dxfId="62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626">
      <pivotArea dataOnly="0" labelOnly="1" fieldPosition="0">
        <references count="1">
          <reference field="18" count="0"/>
        </references>
      </pivotArea>
    </format>
    <format dxfId="627">
      <pivotArea type="all" dataOnly="0" outline="0" fieldPosition="0"/>
    </format>
    <format dxfId="628">
      <pivotArea outline="0" collapsedLevelsAreSubtotals="1" fieldPosition="0"/>
    </format>
    <format dxfId="629">
      <pivotArea type="origin" dataOnly="0" labelOnly="1" outline="0" fieldPosition="0"/>
    </format>
    <format dxfId="630">
      <pivotArea field="18" type="button" dataOnly="0" labelOnly="1" outline="0" axis="axisCol" fieldPosition="0"/>
    </format>
    <format dxfId="631">
      <pivotArea type="topRight" dataOnly="0" labelOnly="1" outline="0" fieldPosition="0"/>
    </format>
    <format dxfId="632">
      <pivotArea field="-2" type="button" dataOnly="0" labelOnly="1" outline="0" axis="axisRow" fieldPosition="0"/>
    </format>
    <format dxfId="63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634">
      <pivotArea dataOnly="0" labelOnly="1" fieldPosition="0">
        <references count="1">
          <reference field="18" count="0"/>
        </references>
      </pivotArea>
    </format>
  </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59AA00-6B47-428C-99AA-A21E8E04C64E}" name="G10" cacheId="75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2" rowHeaderCaption="Responsável" colHeaderCaption=".">
  <location ref="AD4:AG6" firstHeaderRow="0" firstDataRow="1" firstDataCol="1" rowPageCount="1" colPageCount="1"/>
  <pivotFields count="19">
    <pivotField showAll="0" defaultSubtotal="0"/>
    <pivotField axis="axisRow" showAll="0" sortType="descending" defaultSubtotal="0">
      <items count="13">
        <item h="1" x="11"/>
        <item x="5"/>
        <item x="3"/>
        <item h="1" x="6"/>
        <item h="1" x="9"/>
        <item h="1" x="0"/>
        <item h="1" x="7"/>
        <item h="1" x="1"/>
        <item h="1" x="4"/>
        <item h="1" x="2"/>
        <item h="1" x="8"/>
        <item h="1" x="12"/>
        <item h="1" x="1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axis="axisPage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21"/>
        <item x="12"/>
        <item x="13"/>
        <item x="14"/>
        <item x="15"/>
        <item x="16"/>
        <item x="18"/>
        <item x="20"/>
        <item x="17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>
      <items count="7">
        <item m="1" x="6"/>
        <item x="2"/>
        <item x="4"/>
        <item x="1"/>
        <item x="3"/>
        <item x="0"/>
        <item h="1" x="5"/>
      </items>
    </pivotField>
  </pivotFields>
  <rowFields count="1">
    <field x="1"/>
  </rowFields>
  <rowItems count="2">
    <i>
      <x v="2"/>
    </i>
    <i>
      <x v="1"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VALOR" fld="4" baseField="0" baseItem="0"/>
    <dataField name="QTD" fld="18" subtotal="count" baseField="0" baseItem="0"/>
    <dataField name="KMs" fld="3" baseField="0" baseItem="0" numFmtId="1"/>
  </dataFields>
  <formats count="57">
    <format dxfId="504">
      <pivotArea type="all" dataOnly="0" outline="0" fieldPosition="0"/>
    </format>
    <format dxfId="505">
      <pivotArea outline="0" collapsedLevelsAreSubtotals="1" fieldPosition="0"/>
    </format>
    <format dxfId="506">
      <pivotArea type="origin" dataOnly="0" labelOnly="1" outline="0" fieldPosition="0"/>
    </format>
    <format dxfId="507">
      <pivotArea field="18" type="button" dataOnly="0" labelOnly="1" outline="0"/>
    </format>
    <format dxfId="508">
      <pivotArea type="topRight" dataOnly="0" labelOnly="1" outline="0" fieldPosition="0"/>
    </format>
    <format dxfId="509">
      <pivotArea field="-2" type="button" dataOnly="0" labelOnly="1" outline="0" axis="axisCol" fieldPosition="0"/>
    </format>
    <format dxfId="510">
      <pivotArea dataOnly="0" labelOnly="1" grandCol="1" outline="0" fieldPosition="0"/>
    </format>
    <format dxfId="511">
      <pivotArea type="all" dataOnly="0" outline="0" fieldPosition="0"/>
    </format>
    <format dxfId="512">
      <pivotArea outline="0" collapsedLevelsAreSubtotals="1" fieldPosition="0"/>
    </format>
    <format dxfId="513">
      <pivotArea type="origin" dataOnly="0" labelOnly="1" outline="0" fieldPosition="0"/>
    </format>
    <format dxfId="514">
      <pivotArea field="18" type="button" dataOnly="0" labelOnly="1" outline="0"/>
    </format>
    <format dxfId="515">
      <pivotArea type="topRight" dataOnly="0" labelOnly="1" outline="0" fieldPosition="0"/>
    </format>
    <format dxfId="516">
      <pivotArea field="-2" type="button" dataOnly="0" labelOnly="1" outline="0" axis="axisCol" fieldPosition="0"/>
    </format>
    <format dxfId="517">
      <pivotArea dataOnly="0" labelOnly="1" grandCol="1" outline="0" fieldPosition="0"/>
    </format>
    <format dxfId="518">
      <pivotArea outline="0" collapsedLevelsAreSubtotals="1" fieldPosition="0"/>
    </format>
    <format dxfId="519">
      <pivotArea grandCol="1" outline="0" collapsedLevelsAreSubtotals="1" fieldPosition="0"/>
    </format>
    <format dxfId="520">
      <pivotArea dataOnly="0" labelOnly="1" grandCol="1" outline="0" fieldPosition="0"/>
    </format>
    <format dxfId="521">
      <pivotArea grandCol="1" outline="0" collapsedLevelsAreSubtotals="1" fieldPosition="0"/>
    </format>
    <format dxfId="522">
      <pivotArea collapsedLevelsAreSubtotals="1" fieldPosition="0">
        <references count="1">
          <reference field="4294967294" count="1">
            <x v="1"/>
          </reference>
        </references>
      </pivotArea>
    </format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4">
      <pivotArea type="all" dataOnly="0" outline="0" fieldPosition="0"/>
    </format>
    <format dxfId="525">
      <pivotArea outline="0" collapsedLevelsAreSubtotals="1" fieldPosition="0"/>
    </format>
    <format dxfId="526">
      <pivotArea field="1" type="button" dataOnly="0" labelOnly="1" outline="0" axis="axisRow" fieldPosition="0"/>
    </format>
    <format dxfId="527">
      <pivotArea dataOnly="0" labelOnly="1" fieldPosition="0">
        <references count="1">
          <reference field="1" count="8"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528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529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530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531">
      <pivotArea type="all" dataOnly="0" outline="0" fieldPosition="0"/>
    </format>
    <format dxfId="532">
      <pivotArea outline="0" collapsedLevelsAreSubtotals="1" fieldPosition="0"/>
    </format>
    <format dxfId="533">
      <pivotArea field="1" type="button" dataOnly="0" labelOnly="1" outline="0" axis="axisRow" fieldPosition="0"/>
    </format>
    <format dxfId="534">
      <pivotArea dataOnly="0" labelOnly="1" fieldPosition="0">
        <references count="1">
          <reference field="1" count="0"/>
        </references>
      </pivotArea>
    </format>
    <format dxfId="5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36">
      <pivotArea type="all" dataOnly="0" outline="0" fieldPosition="0"/>
    </format>
    <format dxfId="537">
      <pivotArea outline="0" collapsedLevelsAreSubtotals="1" fieldPosition="0"/>
    </format>
    <format dxfId="538">
      <pivotArea field="1" type="button" dataOnly="0" labelOnly="1" outline="0" axis="axisRow" fieldPosition="0"/>
    </format>
    <format dxfId="539">
      <pivotArea dataOnly="0" labelOnly="1" fieldPosition="0">
        <references count="1">
          <reference field="1" count="0"/>
        </references>
      </pivotArea>
    </format>
    <format dxfId="54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41">
      <pivotArea type="all" dataOnly="0" outline="0" fieldPosition="0"/>
    </format>
    <format dxfId="542">
      <pivotArea outline="0" collapsedLevelsAreSubtotals="1" fieldPosition="0"/>
    </format>
    <format dxfId="543">
      <pivotArea field="1" type="button" dataOnly="0" labelOnly="1" outline="0" axis="axisRow" fieldPosition="0"/>
    </format>
    <format dxfId="544">
      <pivotArea dataOnly="0" labelOnly="1" fieldPosition="0">
        <references count="1">
          <reference field="1" count="0"/>
        </references>
      </pivotArea>
    </format>
    <format dxfId="5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46">
      <pivotArea type="all" dataOnly="0" outline="0" fieldPosition="0"/>
    </format>
    <format dxfId="547">
      <pivotArea outline="0" collapsedLevelsAreSubtotals="1" fieldPosition="0"/>
    </format>
    <format dxfId="548">
      <pivotArea dataOnly="0" labelOnly="1" fieldPosition="0">
        <references count="1">
          <reference field="1" count="0"/>
        </references>
      </pivotArea>
    </format>
    <format dxfId="549">
      <pivotArea field="1" type="button" dataOnly="0" labelOnly="1" outline="0" axis="axisRow" fieldPosition="0"/>
    </format>
    <format dxfId="55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51">
      <pivotArea type="all" dataOnly="0" outline="0" fieldPosition="0"/>
    </format>
    <format dxfId="552">
      <pivotArea outline="0" collapsedLevelsAreSubtotals="1" fieldPosition="0"/>
    </format>
    <format dxfId="553">
      <pivotArea field="1" type="button" dataOnly="0" labelOnly="1" outline="0" axis="axisRow" fieldPosition="0"/>
    </format>
    <format dxfId="554">
      <pivotArea dataOnly="0" labelOnly="1" fieldPosition="0">
        <references count="1">
          <reference field="1" count="0"/>
        </references>
      </pivotArea>
    </format>
    <format dxfId="55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56">
      <pivotArea type="all" dataOnly="0" outline="0" fieldPosition="0"/>
    </format>
    <format dxfId="557">
      <pivotArea outline="0" collapsedLevelsAreSubtotals="1" fieldPosition="0"/>
    </format>
    <format dxfId="558">
      <pivotArea field="1" type="button" dataOnly="0" labelOnly="1" outline="0" axis="axisRow" fieldPosition="0"/>
    </format>
    <format dxfId="559">
      <pivotArea dataOnly="0" labelOnly="1" fieldPosition="0">
        <references count="1">
          <reference field="1" count="0"/>
        </references>
      </pivotArea>
    </format>
    <format dxfId="56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663DEC-1AC7-45E2-B31A-831ACE4A731C}" name="G04" cacheId="74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0" rowHeaderCaption="MUNCK">
  <location ref="P4:Q8" firstHeaderRow="1" firstDataRow="1" firstDataCol="1" rowPageCount="2" colPageCount="1"/>
  <pivotFields count="7">
    <pivotField axis="axisPage" multipleItemSelectionAllowed="1" showAll="0">
      <items count="21">
        <item h="1" m="1" x="16"/>
        <item h="1" x="8"/>
        <item h="1" x="12"/>
        <item h="1" x="9"/>
        <item h="1" x="10"/>
        <item h="1" x="6"/>
        <item h="1" m="1" x="19"/>
        <item h="1" x="4"/>
        <item h="1" x="2"/>
        <item h="1" m="1" x="18"/>
        <item h="1" m="1" x="17"/>
        <item x="5"/>
        <item h="1" x="15"/>
        <item h="1" x="3"/>
        <item h="1" x="0"/>
        <item h="1" x="7"/>
        <item h="1" x="1"/>
        <item h="1" x="14"/>
        <item h="1" x="13"/>
        <item h="1" x="11"/>
        <item t="default"/>
      </items>
    </pivotField>
    <pivotField axis="axisRow" showAll="0" sortType="descending">
      <items count="10">
        <item x="1"/>
        <item x="4"/>
        <item x="5"/>
        <item x="2"/>
        <item x="0"/>
        <item x="3"/>
        <item x="6"/>
        <item x="8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4"/>
        <item x="9"/>
        <item x="13"/>
        <item x="15"/>
        <item x="16"/>
        <item x="18"/>
        <item x="11"/>
        <item x="12"/>
        <item x="17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4">
    <i>
      <x/>
    </i>
    <i>
      <x v="3"/>
    </i>
    <i>
      <x v="4"/>
    </i>
    <i>
      <x v="2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36">
    <format dxfId="468">
      <pivotArea outline="0" collapsedLevelsAreSubtotals="1" fieldPosition="0"/>
    </format>
    <format dxfId="469">
      <pivotArea dataOnly="0" labelOnly="1" outline="0" axis="axisValues" fieldPosition="0"/>
    </format>
    <format dxfId="470">
      <pivotArea type="all" dataOnly="0" outline="0" fieldPosition="0"/>
    </format>
    <format dxfId="471">
      <pivotArea outline="0" collapsedLevelsAreSubtotals="1" fieldPosition="0"/>
    </format>
    <format dxfId="472">
      <pivotArea field="1" type="button" dataOnly="0" labelOnly="1" outline="0" axis="axisRow" fieldPosition="0"/>
    </format>
    <format dxfId="473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474">
      <pivotArea dataOnly="0" labelOnly="1" grandRow="1" outline="0" fieldPosition="0"/>
    </format>
    <format dxfId="475">
      <pivotArea dataOnly="0" labelOnly="1" outline="0" axis="axisValues" fieldPosition="0"/>
    </format>
    <format dxfId="476">
      <pivotArea type="all" dataOnly="0" outline="0" fieldPosition="0"/>
    </format>
    <format dxfId="477">
      <pivotArea outline="0" collapsedLevelsAreSubtotals="1" fieldPosition="0"/>
    </format>
    <format dxfId="478">
      <pivotArea field="1" type="button" dataOnly="0" labelOnly="1" outline="0" axis="axisRow" fieldPosition="0"/>
    </format>
    <format dxfId="479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480">
      <pivotArea dataOnly="0" labelOnly="1" grandRow="1" outline="0" fieldPosition="0"/>
    </format>
    <format dxfId="481">
      <pivotArea dataOnly="0" labelOnly="1" outline="0" axis="axisValues" fieldPosition="0"/>
    </format>
    <format dxfId="482">
      <pivotArea type="all" dataOnly="0" outline="0" fieldPosition="0"/>
    </format>
    <format dxfId="483">
      <pivotArea outline="0" collapsedLevelsAreSubtotals="1" fieldPosition="0"/>
    </format>
    <format dxfId="484">
      <pivotArea field="1" type="button" dataOnly="0" labelOnly="1" outline="0" axis="axisRow" fieldPosition="0"/>
    </format>
    <format dxfId="485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486">
      <pivotArea dataOnly="0" labelOnly="1" grandRow="1" outline="0" fieldPosition="0"/>
    </format>
    <format dxfId="487">
      <pivotArea dataOnly="0" labelOnly="1" outline="0" axis="axisValues" fieldPosition="0"/>
    </format>
    <format dxfId="488">
      <pivotArea type="all" dataOnly="0" outline="0" fieldPosition="0"/>
    </format>
    <format dxfId="489">
      <pivotArea outline="0" collapsedLevelsAreSubtotals="1" fieldPosition="0"/>
    </format>
    <format dxfId="490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491">
      <pivotArea dataOnly="0" labelOnly="1" grandRow="1" outline="0" fieldPosition="0"/>
    </format>
    <format dxfId="492">
      <pivotArea field="1" type="button" dataOnly="0" labelOnly="1" outline="0" axis="axisRow" fieldPosition="0"/>
    </format>
    <format dxfId="493">
      <pivotArea dataOnly="0" labelOnly="1" outline="0" axis="axisValues" fieldPosition="0"/>
    </format>
    <format dxfId="494">
      <pivotArea type="all" dataOnly="0" outline="0" fieldPosition="0"/>
    </format>
    <format dxfId="495">
      <pivotArea outline="0" collapsedLevelsAreSubtotals="1" fieldPosition="0"/>
    </format>
    <format dxfId="496">
      <pivotArea field="1" type="button" dataOnly="0" labelOnly="1" outline="0" axis="axisRow" fieldPosition="0"/>
    </format>
    <format dxfId="497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498">
      <pivotArea dataOnly="0" labelOnly="1" outline="0" axis="axisValues" fieldPosition="0"/>
    </format>
    <format dxfId="499">
      <pivotArea type="all" dataOnly="0" outline="0" fieldPosition="0"/>
    </format>
    <format dxfId="500">
      <pivotArea outline="0" collapsedLevelsAreSubtotals="1" fieldPosition="0"/>
    </format>
    <format dxfId="501">
      <pivotArea field="1" type="button" dataOnly="0" labelOnly="1" outline="0" axis="axisRow" fieldPosition="0"/>
    </format>
    <format dxfId="502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503">
      <pivotArea dataOnly="0" labelOnly="1" outline="0" axis="axisValues" fieldPosition="0"/>
    </format>
  </formats>
  <chartFormats count="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F994B7-2D51-4B06-93C3-4CE9203496CB}" name="G02" cacheId="753" dataPosition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9" rowHeaderCaption="Equipamento" colHeaderCaption=".">
  <location ref="I4:L9" firstHeaderRow="0" firstDataRow="1" firstDataCol="1" rowPageCount="1" colPageCount="1"/>
  <pivotFields count="19"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axis="axisPage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21"/>
        <item x="12"/>
        <item x="13"/>
        <item x="14"/>
        <item x="15"/>
        <item x="16"/>
        <item x="18"/>
        <item x="20"/>
        <item x="17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Row" dataField="1" showAll="0" sortType="descending" defaultSubtotal="0">
      <items count="7">
        <item m="1" x="6"/>
        <item x="2"/>
        <item x="4"/>
        <item x="1"/>
        <item x="3"/>
        <item x="0"/>
        <item h="1" x="5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1">
    <field x="18"/>
  </rowFields>
  <rowItems count="5">
    <i>
      <x v="5"/>
    </i>
    <i>
      <x v="4"/>
    </i>
    <i>
      <x v="1"/>
    </i>
    <i>
      <x v="3"/>
    </i>
    <i>
      <x v="2"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Soma Proprio" fld="4" baseField="18" baseItem="0"/>
    <dataField name="Soma Terceiro" fld="5" baseField="18" baseItem="0"/>
    <dataField name="Qtd Frete" fld="18" subtotal="count" baseField="0" baseItem="0"/>
  </dataFields>
  <formats count="57">
    <format dxfId="411">
      <pivotArea type="all" dataOnly="0" outline="0" fieldPosition="0"/>
    </format>
    <format dxfId="412">
      <pivotArea outline="0" collapsedLevelsAreSubtotals="1" fieldPosition="0"/>
    </format>
    <format dxfId="413">
      <pivotArea type="origin" dataOnly="0" labelOnly="1" outline="0" fieldPosition="0"/>
    </format>
    <format dxfId="414">
      <pivotArea field="18" type="button" dataOnly="0" labelOnly="1" outline="0" axis="axisRow" fieldPosition="0"/>
    </format>
    <format dxfId="415">
      <pivotArea type="topRight" dataOnly="0" labelOnly="1" outline="0" fieldPosition="0"/>
    </format>
    <format dxfId="416">
      <pivotArea field="-2" type="button" dataOnly="0" labelOnly="1" outline="0" axis="axisCol" fieldPosition="0"/>
    </format>
    <format dxfId="41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18">
      <pivotArea dataOnly="0" labelOnly="1" fieldPosition="0">
        <references count="1">
          <reference field="18" count="0"/>
        </references>
      </pivotArea>
    </format>
    <format dxfId="419">
      <pivotArea dataOnly="0" labelOnly="1" grandCol="1" outline="0" fieldPosition="0"/>
    </format>
    <format dxfId="420">
      <pivotArea type="all" dataOnly="0" outline="0" fieldPosition="0"/>
    </format>
    <format dxfId="421">
      <pivotArea outline="0" collapsedLevelsAreSubtotals="1" fieldPosition="0"/>
    </format>
    <format dxfId="422">
      <pivotArea type="origin" dataOnly="0" labelOnly="1" outline="0" fieldPosition="0"/>
    </format>
    <format dxfId="423">
      <pivotArea field="18" type="button" dataOnly="0" labelOnly="1" outline="0" axis="axisRow" fieldPosition="0"/>
    </format>
    <format dxfId="424">
      <pivotArea type="topRight" dataOnly="0" labelOnly="1" outline="0" fieldPosition="0"/>
    </format>
    <format dxfId="425">
      <pivotArea field="-2" type="button" dataOnly="0" labelOnly="1" outline="0" axis="axisCol" fieldPosition="0"/>
    </format>
    <format dxfId="42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27">
      <pivotArea dataOnly="0" labelOnly="1" fieldPosition="0">
        <references count="1">
          <reference field="18" count="0"/>
        </references>
      </pivotArea>
    </format>
    <format dxfId="428">
      <pivotArea dataOnly="0" labelOnly="1" grandCol="1" outline="0" fieldPosition="0"/>
    </format>
    <format dxfId="429">
      <pivotArea outline="0" collapsedLevelsAreSubtotals="1" fieldPosition="0"/>
    </format>
    <format dxfId="430">
      <pivotArea grandCol="1" outline="0" collapsedLevelsAreSubtotals="1" fieldPosition="0"/>
    </format>
    <format dxfId="431">
      <pivotArea dataOnly="0" labelOnly="1" grandCol="1" outline="0" fieldPosition="0"/>
    </format>
    <format dxfId="432">
      <pivotArea grandCol="1" outline="0" collapsedLevelsAreSubtotals="1" fieldPosition="0"/>
    </format>
    <format dxfId="433">
      <pivotArea outline="0" collapsedLevelsAreSubtotals="1" fieldPosition="0"/>
    </format>
    <format dxfId="434">
      <pivotArea collapsedLevelsAreSubtotals="1" fieldPosition="0">
        <references count="1">
          <reference field="4294967294" count="1">
            <x v="2"/>
          </reference>
        </references>
      </pivotArea>
    </format>
    <format dxfId="435">
      <pivotArea type="all" dataOnly="0" outline="0" fieldPosition="0"/>
    </format>
    <format dxfId="436">
      <pivotArea outline="0" collapsedLevelsAreSubtotals="1" fieldPosition="0"/>
    </format>
    <format dxfId="437">
      <pivotArea type="origin" dataOnly="0" labelOnly="1" outline="0" fieldPosition="0"/>
    </format>
    <format dxfId="438">
      <pivotArea field="18" type="button" dataOnly="0" labelOnly="1" outline="0" axis="axisRow" fieldPosition="0"/>
    </format>
    <format dxfId="439">
      <pivotArea type="topRight" dataOnly="0" labelOnly="1" outline="0" fieldPosition="0"/>
    </format>
    <format dxfId="440">
      <pivotArea field="-2" type="button" dataOnly="0" labelOnly="1" outline="0" axis="axisCol" fieldPosition="0"/>
    </format>
    <format dxfId="44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42">
      <pivotArea dataOnly="0" labelOnly="1" fieldPosition="0">
        <references count="1">
          <reference field="18" count="0"/>
        </references>
      </pivotArea>
    </format>
    <format dxfId="443">
      <pivotArea type="all" dataOnly="0" outline="0" fieldPosition="0"/>
    </format>
    <format dxfId="444">
      <pivotArea outline="0" collapsedLevelsAreSubtotals="1" fieldPosition="0"/>
    </format>
    <format dxfId="445">
      <pivotArea field="18" type="button" dataOnly="0" labelOnly="1" outline="0" axis="axisRow" fieldPosition="0"/>
    </format>
    <format dxfId="446">
      <pivotArea dataOnly="0" labelOnly="1" fieldPosition="0">
        <references count="1">
          <reference field="18" count="0"/>
        </references>
      </pivotArea>
    </format>
    <format dxfId="4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48">
      <pivotArea type="all" dataOnly="0" outline="0" fieldPosition="0"/>
    </format>
    <format dxfId="449">
      <pivotArea outline="0" collapsedLevelsAreSubtotals="1" fieldPosition="0"/>
    </format>
    <format dxfId="450">
      <pivotArea field="18" type="button" dataOnly="0" labelOnly="1" outline="0" axis="axisRow" fieldPosition="0"/>
    </format>
    <format dxfId="451">
      <pivotArea dataOnly="0" labelOnly="1" fieldPosition="0">
        <references count="1">
          <reference field="18" count="0"/>
        </references>
      </pivotArea>
    </format>
    <format dxfId="45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53">
      <pivotArea type="all" dataOnly="0" outline="0" fieldPosition="0"/>
    </format>
    <format dxfId="454">
      <pivotArea outline="0" collapsedLevelsAreSubtotals="1" fieldPosition="0"/>
    </format>
    <format dxfId="455">
      <pivotArea dataOnly="0" labelOnly="1" fieldPosition="0">
        <references count="1">
          <reference field="18" count="0"/>
        </references>
      </pivotArea>
    </format>
    <format dxfId="456">
      <pivotArea field="18" type="button" dataOnly="0" labelOnly="1" outline="0" axis="axisRow" fieldPosition="0"/>
    </format>
    <format dxfId="45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58">
      <pivotArea type="all" dataOnly="0" outline="0" fieldPosition="0"/>
    </format>
    <format dxfId="459">
      <pivotArea outline="0" collapsedLevelsAreSubtotals="1" fieldPosition="0"/>
    </format>
    <format dxfId="460">
      <pivotArea field="18" type="button" dataOnly="0" labelOnly="1" outline="0" axis="axisRow" fieldPosition="0"/>
    </format>
    <format dxfId="461">
      <pivotArea dataOnly="0" labelOnly="1" fieldPosition="0">
        <references count="1">
          <reference field="18" count="0"/>
        </references>
      </pivotArea>
    </format>
    <format dxfId="4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63">
      <pivotArea type="all" dataOnly="0" outline="0" fieldPosition="0"/>
    </format>
    <format dxfId="464">
      <pivotArea outline="0" collapsedLevelsAreSubtotals="1" fieldPosition="0"/>
    </format>
    <format dxfId="465">
      <pivotArea field="18" type="button" dataOnly="0" labelOnly="1" outline="0" axis="axisRow" fieldPosition="0"/>
    </format>
    <format dxfId="466">
      <pivotArea dataOnly="0" labelOnly="1" fieldPosition="0">
        <references count="1">
          <reference field="18" count="0"/>
        </references>
      </pivotArea>
    </format>
    <format dxfId="4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9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4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5"/>
          </reference>
        </references>
      </pivotArea>
    </chartFormat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199397-8972-4E5A-AE3D-AB485185DB4F}" name="Tabela dinâmica3" cacheId="74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1" rowHeaderCaption="MOTOBOY">
  <location ref="Z24:AA26" firstHeaderRow="1" firstDataRow="1" firstDataCol="1" rowPageCount="1" colPageCount="1"/>
  <pivotFields count="7">
    <pivotField axis="axisRow" multipleItemSelectionAllowed="1" showAll="0">
      <items count="21">
        <item x="14"/>
        <item x="0"/>
        <item h="1" m="1" x="16"/>
        <item h="1" x="8"/>
        <item h="1" x="12"/>
        <item h="1" x="9"/>
        <item h="1" x="10"/>
        <item h="1" x="6"/>
        <item h="1" m="1" x="19"/>
        <item h="1" x="4"/>
        <item h="1" x="2"/>
        <item m="1" x="18"/>
        <item h="1" m="1" x="17"/>
        <item h="1" x="5"/>
        <item h="1" x="13"/>
        <item h="1" x="1"/>
        <item h="1" x="3"/>
        <item h="1" x="7"/>
        <item h="1" x="15"/>
        <item h="1" x="11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4"/>
        <item x="9"/>
        <item x="13"/>
        <item x="15"/>
        <item x="16"/>
        <item x="18"/>
        <item x="11"/>
        <item x="12"/>
        <item x="17"/>
        <item t="default"/>
      </items>
    </pivotField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2">
    <i>
      <x/>
    </i>
    <i>
      <x v="1"/>
    </i>
  </rowItems>
  <colItems count="1">
    <i/>
  </colItems>
  <pageFields count="1">
    <pageField fld="2" hier="-1"/>
  </pageFields>
  <dataFields count="1">
    <dataField name="R$" fld="6" baseField="0" baseItem="0" numFmtId="164"/>
  </dataFields>
  <formats count="36">
    <format dxfId="375">
      <pivotArea outline="0" collapsedLevelsAreSubtotals="1" fieldPosition="0"/>
    </format>
    <format dxfId="376">
      <pivotArea dataOnly="0" labelOnly="1" outline="0" axis="axisValues" fieldPosition="0"/>
    </format>
    <format dxfId="377">
      <pivotArea type="all" dataOnly="0" outline="0" fieldPosition="0"/>
    </format>
    <format dxfId="378">
      <pivotArea outline="0" collapsedLevelsAreSubtotals="1" fieldPosition="0"/>
    </format>
    <format dxfId="379">
      <pivotArea field="0" type="button" dataOnly="0" labelOnly="1" outline="0" axis="axisRow" fieldPosition="0"/>
    </format>
    <format dxfId="380">
      <pivotArea dataOnly="0" labelOnly="1" fieldPosition="0">
        <references count="1">
          <reference field="0" count="0"/>
        </references>
      </pivotArea>
    </format>
    <format dxfId="381">
      <pivotArea dataOnly="0" labelOnly="1" grandRow="1" outline="0" fieldPosition="0"/>
    </format>
    <format dxfId="382">
      <pivotArea dataOnly="0" labelOnly="1" outline="0" axis="axisValues" fieldPosition="0"/>
    </format>
    <format dxfId="383">
      <pivotArea type="all" dataOnly="0" outline="0" fieldPosition="0"/>
    </format>
    <format dxfId="384">
      <pivotArea outline="0" collapsedLevelsAreSubtotals="1" fieldPosition="0"/>
    </format>
    <format dxfId="385">
      <pivotArea field="0" type="button" dataOnly="0" labelOnly="1" outline="0" axis="axisRow" fieldPosition="0"/>
    </format>
    <format dxfId="386">
      <pivotArea dataOnly="0" labelOnly="1" fieldPosition="0">
        <references count="1">
          <reference field="0" count="0"/>
        </references>
      </pivotArea>
    </format>
    <format dxfId="387">
      <pivotArea dataOnly="0" labelOnly="1" grandRow="1" outline="0" fieldPosition="0"/>
    </format>
    <format dxfId="388">
      <pivotArea dataOnly="0" labelOnly="1" outline="0" axis="axisValues" fieldPosition="0"/>
    </format>
    <format dxfId="389">
      <pivotArea type="all" dataOnly="0" outline="0" fieldPosition="0"/>
    </format>
    <format dxfId="390">
      <pivotArea outline="0" collapsedLevelsAreSubtotals="1" fieldPosition="0"/>
    </format>
    <format dxfId="391">
      <pivotArea field="0" type="button" dataOnly="0" labelOnly="1" outline="0" axis="axisRow" fieldPosition="0"/>
    </format>
    <format dxfId="392">
      <pivotArea dataOnly="0" labelOnly="1" fieldPosition="0">
        <references count="1">
          <reference field="0" count="0"/>
        </references>
      </pivotArea>
    </format>
    <format dxfId="393">
      <pivotArea dataOnly="0" labelOnly="1" grandRow="1" outline="0" fieldPosition="0"/>
    </format>
    <format dxfId="394">
      <pivotArea dataOnly="0" labelOnly="1" outline="0" axis="axisValues" fieldPosition="0"/>
    </format>
    <format dxfId="395">
      <pivotArea type="all" dataOnly="0" outline="0" fieldPosition="0"/>
    </format>
    <format dxfId="396">
      <pivotArea outline="0" collapsedLevelsAreSubtotals="1" fieldPosition="0"/>
    </format>
    <format dxfId="397">
      <pivotArea dataOnly="0" labelOnly="1" fieldPosition="0">
        <references count="1">
          <reference field="0" count="0"/>
        </references>
      </pivotArea>
    </format>
    <format dxfId="398">
      <pivotArea dataOnly="0" labelOnly="1" grandRow="1" outline="0" fieldPosition="0"/>
    </format>
    <format dxfId="399">
      <pivotArea field="0" type="button" dataOnly="0" labelOnly="1" outline="0" axis="axisRow" fieldPosition="0"/>
    </format>
    <format dxfId="400">
      <pivotArea dataOnly="0" labelOnly="1" outline="0" axis="axisValues" fieldPosition="0"/>
    </format>
    <format dxfId="401">
      <pivotArea type="all" dataOnly="0" outline="0" fieldPosition="0"/>
    </format>
    <format dxfId="402">
      <pivotArea outline="0" collapsedLevelsAreSubtotals="1" fieldPosition="0"/>
    </format>
    <format dxfId="403">
      <pivotArea field="0" type="button" dataOnly="0" labelOnly="1" outline="0" axis="axisRow" fieldPosition="0"/>
    </format>
    <format dxfId="404">
      <pivotArea dataOnly="0" labelOnly="1" fieldPosition="0">
        <references count="1">
          <reference field="0" count="0"/>
        </references>
      </pivotArea>
    </format>
    <format dxfId="405">
      <pivotArea dataOnly="0" labelOnly="1" outline="0" axis="axisValues" fieldPosition="0"/>
    </format>
    <format dxfId="406">
      <pivotArea type="all" dataOnly="0" outline="0" fieldPosition="0"/>
    </format>
    <format dxfId="407">
      <pivotArea outline="0" collapsedLevelsAreSubtotals="1" fieldPosition="0"/>
    </format>
    <format dxfId="408">
      <pivotArea field="0" type="button" dataOnly="0" labelOnly="1" outline="0" axis="axisRow" fieldPosition="0"/>
    </format>
    <format dxfId="409">
      <pivotArea dataOnly="0" labelOnly="1" fieldPosition="0">
        <references count="1">
          <reference field="0" count="0"/>
        </references>
      </pivotArea>
    </format>
    <format dxfId="410">
      <pivotArea dataOnly="0" labelOnly="1" outline="0" axis="axisValues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27B784-1EC6-485D-BCE7-D22436DA15AA}" name="G07" cacheId="74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1" rowHeaderCaption="MOTOBOY">
  <location ref="V4:W11" firstHeaderRow="1" firstDataRow="1" firstDataCol="1" rowPageCount="2" colPageCount="1"/>
  <pivotFields count="7">
    <pivotField axis="axisPage" multipleItemSelectionAllowed="1" showAll="0">
      <items count="21">
        <item h="1" m="1" x="16"/>
        <item h="1" x="8"/>
        <item h="1" x="12"/>
        <item h="1" x="9"/>
        <item h="1" x="10"/>
        <item h="1" x="6"/>
        <item h="1" m="1" x="19"/>
        <item x="4"/>
        <item h="1" x="2"/>
        <item h="1" m="1" x="18"/>
        <item h="1" m="1" x="17"/>
        <item h="1" x="5"/>
        <item h="1" x="15"/>
        <item h="1" x="3"/>
        <item h="1" x="0"/>
        <item h="1" x="7"/>
        <item h="1" x="1"/>
        <item h="1" x="14"/>
        <item h="1" x="13"/>
        <item h="1" x="11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4"/>
        <item x="9"/>
        <item x="13"/>
        <item x="15"/>
        <item x="16"/>
        <item x="18"/>
        <item x="11"/>
        <item x="12"/>
        <item x="17"/>
        <item t="default"/>
      </items>
    </pivotField>
    <pivotField showAll="0"/>
    <pivotField showAll="0"/>
    <pivotField axis="axisRow" showAll="0" sortType="descending">
      <items count="33">
        <item x="22"/>
        <item x="13"/>
        <item x="4"/>
        <item x="16"/>
        <item x="6"/>
        <item x="1"/>
        <item x="0"/>
        <item x="3"/>
        <item x="2"/>
        <item x="25"/>
        <item x="27"/>
        <item x="23"/>
        <item x="7"/>
        <item x="14"/>
        <item x="15"/>
        <item x="20"/>
        <item x="9"/>
        <item x="18"/>
        <item x="21"/>
        <item x="19"/>
        <item x="24"/>
        <item x="26"/>
        <item x="10"/>
        <item x="12"/>
        <item x="8"/>
        <item x="28"/>
        <item x="5"/>
        <item x="17"/>
        <item x="11"/>
        <item x="29"/>
        <item x="31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5"/>
  </rowFields>
  <rowItems count="7">
    <i>
      <x v="4"/>
    </i>
    <i>
      <x v="14"/>
    </i>
    <i>
      <x v="16"/>
    </i>
    <i>
      <x v="28"/>
    </i>
    <i>
      <x v="13"/>
    </i>
    <i>
      <x v="2"/>
    </i>
    <i>
      <x v="12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36">
    <format dxfId="339">
      <pivotArea outline="0" collapsedLevelsAreSubtotals="1" fieldPosition="0"/>
    </format>
    <format dxfId="340">
      <pivotArea dataOnly="0" labelOnly="1" outline="0" axis="axisValues" fieldPosition="0"/>
    </format>
    <format dxfId="341">
      <pivotArea type="all" dataOnly="0" outline="0" fieldPosition="0"/>
    </format>
    <format dxfId="342">
      <pivotArea outline="0" collapsedLevelsAreSubtotals="1" fieldPosition="0"/>
    </format>
    <format dxfId="343">
      <pivotArea field="5" type="button" dataOnly="0" labelOnly="1" outline="0" axis="axisRow" fieldPosition="0"/>
    </format>
    <format dxfId="344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345">
      <pivotArea dataOnly="0" labelOnly="1" grandRow="1" outline="0" fieldPosition="0"/>
    </format>
    <format dxfId="346">
      <pivotArea dataOnly="0" labelOnly="1" outline="0" axis="axisValues" fieldPosition="0"/>
    </format>
    <format dxfId="347">
      <pivotArea type="all" dataOnly="0" outline="0" fieldPosition="0"/>
    </format>
    <format dxfId="348">
      <pivotArea outline="0" collapsedLevelsAreSubtotals="1" fieldPosition="0"/>
    </format>
    <format dxfId="349">
      <pivotArea field="5" type="button" dataOnly="0" labelOnly="1" outline="0" axis="axisRow" fieldPosition="0"/>
    </format>
    <format dxfId="350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351">
      <pivotArea dataOnly="0" labelOnly="1" grandRow="1" outline="0" fieldPosition="0"/>
    </format>
    <format dxfId="352">
      <pivotArea dataOnly="0" labelOnly="1" outline="0" axis="axisValues" fieldPosition="0"/>
    </format>
    <format dxfId="353">
      <pivotArea type="all" dataOnly="0" outline="0" fieldPosition="0"/>
    </format>
    <format dxfId="354">
      <pivotArea outline="0" collapsedLevelsAreSubtotals="1" fieldPosition="0"/>
    </format>
    <format dxfId="355">
      <pivotArea field="5" type="button" dataOnly="0" labelOnly="1" outline="0" axis="axisRow" fieldPosition="0"/>
    </format>
    <format dxfId="356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357">
      <pivotArea dataOnly="0" labelOnly="1" grandRow="1" outline="0" fieldPosition="0"/>
    </format>
    <format dxfId="358">
      <pivotArea dataOnly="0" labelOnly="1" outline="0" axis="axisValues" fieldPosition="0"/>
    </format>
    <format dxfId="359">
      <pivotArea type="all" dataOnly="0" outline="0" fieldPosition="0"/>
    </format>
    <format dxfId="360">
      <pivotArea outline="0" collapsedLevelsAreSubtotals="1" fieldPosition="0"/>
    </format>
    <format dxfId="361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362">
      <pivotArea dataOnly="0" labelOnly="1" grandRow="1" outline="0" fieldPosition="0"/>
    </format>
    <format dxfId="363">
      <pivotArea field="5" type="button" dataOnly="0" labelOnly="1" outline="0" axis="axisRow" fieldPosition="0"/>
    </format>
    <format dxfId="364">
      <pivotArea dataOnly="0" labelOnly="1" outline="0" axis="axisValues" fieldPosition="0"/>
    </format>
    <format dxfId="365">
      <pivotArea type="all" dataOnly="0" outline="0" fieldPosition="0"/>
    </format>
    <format dxfId="366">
      <pivotArea outline="0" collapsedLevelsAreSubtotals="1" fieldPosition="0"/>
    </format>
    <format dxfId="367">
      <pivotArea field="5" type="button" dataOnly="0" labelOnly="1" outline="0" axis="axisRow" fieldPosition="0"/>
    </format>
    <format dxfId="368">
      <pivotArea dataOnly="0" labelOnly="1" fieldPosition="0">
        <references count="1">
          <reference field="5" count="7">
            <x v="2"/>
            <x v="4"/>
            <x v="12"/>
            <x v="13"/>
            <x v="14"/>
            <x v="16"/>
            <x v="28"/>
          </reference>
        </references>
      </pivotArea>
    </format>
    <format dxfId="369">
      <pivotArea dataOnly="0" labelOnly="1" outline="0" axis="axisValues" fieldPosition="0"/>
    </format>
    <format dxfId="370">
      <pivotArea type="all" dataOnly="0" outline="0" fieldPosition="0"/>
    </format>
    <format dxfId="371">
      <pivotArea outline="0" collapsedLevelsAreSubtotals="1" fieldPosition="0"/>
    </format>
    <format dxfId="372">
      <pivotArea field="5" type="button" dataOnly="0" labelOnly="1" outline="0" axis="axisRow" fieldPosition="0"/>
    </format>
    <format dxfId="373">
      <pivotArea dataOnly="0" labelOnly="1" fieldPosition="0">
        <references count="1">
          <reference field="5" count="7">
            <x v="2"/>
            <x v="4"/>
            <x v="12"/>
            <x v="13"/>
            <x v="14"/>
            <x v="16"/>
            <x v="28"/>
          </reference>
        </references>
      </pivotArea>
    </format>
    <format dxfId="374">
      <pivotArea dataOnly="0" labelOnly="1" outline="0" axis="axisValues" fieldPosition="0"/>
    </format>
  </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042ED8-AAB0-4B24-B72A-7A5F0D3A876F}" name="Tabela dinâmica1" cacheId="74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0" rowHeaderCaption="MUNCK">
  <location ref="P24:Q28" firstHeaderRow="1" firstDataRow="1" firstDataCol="1" rowPageCount="2" colPageCount="1"/>
  <pivotFields count="7">
    <pivotField axis="axisPage" multipleItemSelectionAllowed="1" showAll="0">
      <items count="21">
        <item h="1" m="1" x="16"/>
        <item h="1" x="8"/>
        <item h="1" x="12"/>
        <item h="1" x="9"/>
        <item h="1" x="10"/>
        <item h="1" x="6"/>
        <item h="1" m="1" x="19"/>
        <item h="1" x="4"/>
        <item h="1" x="2"/>
        <item h="1" m="1" x="18"/>
        <item h="1" m="1" x="17"/>
        <item x="5"/>
        <item h="1" x="15"/>
        <item h="1" x="3"/>
        <item h="1" x="0"/>
        <item h="1" x="7"/>
        <item h="1" x="1"/>
        <item h="1" x="14"/>
        <item h="1" x="13"/>
        <item h="1" x="11"/>
        <item t="default"/>
      </items>
    </pivotField>
    <pivotField axis="axisRow" showAll="0" sortType="descending">
      <items count="10">
        <item x="1"/>
        <item x="4"/>
        <item x="5"/>
        <item x="2"/>
        <item x="0"/>
        <item x="3"/>
        <item x="6"/>
        <item x="8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4"/>
        <item x="9"/>
        <item x="13"/>
        <item x="15"/>
        <item x="16"/>
        <item x="18"/>
        <item x="11"/>
        <item x="12"/>
        <item x="17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4">
    <i>
      <x/>
    </i>
    <i>
      <x v="3"/>
    </i>
    <i>
      <x v="4"/>
    </i>
    <i>
      <x v="2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36">
    <format dxfId="303">
      <pivotArea outline="0" collapsedLevelsAreSubtotals="1" fieldPosition="0"/>
    </format>
    <format dxfId="304">
      <pivotArea dataOnly="0" labelOnly="1" outline="0" axis="axisValues" fieldPosition="0"/>
    </format>
    <format dxfId="305">
      <pivotArea type="all" dataOnly="0" outline="0" fieldPosition="0"/>
    </format>
    <format dxfId="306">
      <pivotArea outline="0" collapsedLevelsAreSubtotals="1" fieldPosition="0"/>
    </format>
    <format dxfId="307">
      <pivotArea field="1" type="button" dataOnly="0" labelOnly="1" outline="0" axis="axisRow" fieldPosition="0"/>
    </format>
    <format dxfId="308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309">
      <pivotArea dataOnly="0" labelOnly="1" grandRow="1" outline="0" fieldPosition="0"/>
    </format>
    <format dxfId="310">
      <pivotArea dataOnly="0" labelOnly="1" outline="0" axis="axisValues" fieldPosition="0"/>
    </format>
    <format dxfId="311">
      <pivotArea type="all" dataOnly="0" outline="0" fieldPosition="0"/>
    </format>
    <format dxfId="312">
      <pivotArea outline="0" collapsedLevelsAreSubtotals="1" fieldPosition="0"/>
    </format>
    <format dxfId="313">
      <pivotArea field="1" type="button" dataOnly="0" labelOnly="1" outline="0" axis="axisRow" fieldPosition="0"/>
    </format>
    <format dxfId="314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315">
      <pivotArea dataOnly="0" labelOnly="1" grandRow="1" outline="0" fieldPosition="0"/>
    </format>
    <format dxfId="316">
      <pivotArea dataOnly="0" labelOnly="1" outline="0" axis="axisValues" fieldPosition="0"/>
    </format>
    <format dxfId="317">
      <pivotArea type="all" dataOnly="0" outline="0" fieldPosition="0"/>
    </format>
    <format dxfId="318">
      <pivotArea outline="0" collapsedLevelsAreSubtotals="1" fieldPosition="0"/>
    </format>
    <format dxfId="319">
      <pivotArea field="1" type="button" dataOnly="0" labelOnly="1" outline="0" axis="axisRow" fieldPosition="0"/>
    </format>
    <format dxfId="320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321">
      <pivotArea dataOnly="0" labelOnly="1" grandRow="1" outline="0" fieldPosition="0"/>
    </format>
    <format dxfId="322">
      <pivotArea dataOnly="0" labelOnly="1" outline="0" axis="axisValues" fieldPosition="0"/>
    </format>
    <format dxfId="323">
      <pivotArea type="all" dataOnly="0" outline="0" fieldPosition="0"/>
    </format>
    <format dxfId="324">
      <pivotArea outline="0" collapsedLevelsAreSubtotals="1" fieldPosition="0"/>
    </format>
    <format dxfId="325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326">
      <pivotArea dataOnly="0" labelOnly="1" grandRow="1" outline="0" fieldPosition="0"/>
    </format>
    <format dxfId="327">
      <pivotArea field="1" type="button" dataOnly="0" labelOnly="1" outline="0" axis="axisRow" fieldPosition="0"/>
    </format>
    <format dxfId="328">
      <pivotArea dataOnly="0" labelOnly="1" outline="0" axis="axisValues" fieldPosition="0"/>
    </format>
    <format dxfId="329">
      <pivotArea type="all" dataOnly="0" outline="0" fieldPosition="0"/>
    </format>
    <format dxfId="330">
      <pivotArea outline="0" collapsedLevelsAreSubtotals="1" fieldPosition="0"/>
    </format>
    <format dxfId="331">
      <pivotArea field="1" type="button" dataOnly="0" labelOnly="1" outline="0" axis="axisRow" fieldPosition="0"/>
    </format>
    <format dxfId="332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333">
      <pivotArea dataOnly="0" labelOnly="1" outline="0" axis="axisValues" fieldPosition="0"/>
    </format>
    <format dxfId="334">
      <pivotArea type="all" dataOnly="0" outline="0" fieldPosition="0"/>
    </format>
    <format dxfId="335">
      <pivotArea outline="0" collapsedLevelsAreSubtotals="1" fieldPosition="0"/>
    </format>
    <format dxfId="336">
      <pivotArea field="1" type="button" dataOnly="0" labelOnly="1" outline="0" axis="axisRow" fieldPosition="0"/>
    </format>
    <format dxfId="337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338">
      <pivotArea dataOnly="0" labelOnly="1" outline="0" axis="axisValues" fieldPosition="0"/>
    </format>
  </formats>
  <chartFormats count="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9823A1-254F-4BAF-8640-2BE0DC94BB1D}" name="G05" cacheId="74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3" rowHeaderCaption="MOTOBOY">
  <location ref="R4:S11" firstHeaderRow="1" firstDataRow="1" firstDataCol="1" rowPageCount="2" colPageCount="1"/>
  <pivotFields count="7">
    <pivotField axis="axisPage" multipleItemSelectionAllowed="1" showAll="0">
      <items count="21">
        <item h="1" m="1" x="16"/>
        <item h="1" x="8"/>
        <item h="1" x="12"/>
        <item h="1" x="9"/>
        <item h="1" x="10"/>
        <item h="1" x="6"/>
        <item h="1" m="1" x="19"/>
        <item x="4"/>
        <item h="1" x="2"/>
        <item h="1" m="1" x="18"/>
        <item h="1" m="1" x="17"/>
        <item h="1" x="5"/>
        <item h="1" x="15"/>
        <item h="1" x="3"/>
        <item h="1" x="0"/>
        <item h="1" x="7"/>
        <item h="1" x="1"/>
        <item h="1" x="14"/>
        <item h="1" x="13"/>
        <item h="1" x="11"/>
        <item t="default"/>
      </items>
    </pivotField>
    <pivotField axis="axisRow" showAll="0" sortType="descending">
      <items count="10">
        <item x="1"/>
        <item x="4"/>
        <item x="5"/>
        <item x="2"/>
        <item x="0"/>
        <item x="3"/>
        <item x="6"/>
        <item x="8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4"/>
        <item x="9"/>
        <item x="13"/>
        <item x="15"/>
        <item x="16"/>
        <item x="18"/>
        <item x="11"/>
        <item x="12"/>
        <item x="17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7">
    <i>
      <x v="4"/>
    </i>
    <i>
      <x v="1"/>
    </i>
    <i>
      <x v="2"/>
    </i>
    <i>
      <x v="6"/>
    </i>
    <i>
      <x v="5"/>
    </i>
    <i>
      <x/>
    </i>
    <i>
      <x v="3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36">
    <format dxfId="267">
      <pivotArea outline="0" collapsedLevelsAreSubtotals="1" fieldPosition="0"/>
    </format>
    <format dxfId="268">
      <pivotArea dataOnly="0" labelOnly="1" outline="0" axis="axisValues" fieldPosition="0"/>
    </format>
    <format dxfId="269">
      <pivotArea type="all" dataOnly="0" outline="0" fieldPosition="0"/>
    </format>
    <format dxfId="270">
      <pivotArea outline="0" collapsedLevelsAreSubtotals="1" fieldPosition="0"/>
    </format>
    <format dxfId="271">
      <pivotArea field="1" type="button" dataOnly="0" labelOnly="1" outline="0" axis="axisRow" fieldPosition="0"/>
    </format>
    <format dxfId="272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273">
      <pivotArea dataOnly="0" labelOnly="1" grandRow="1" outline="0" fieldPosition="0"/>
    </format>
    <format dxfId="274">
      <pivotArea dataOnly="0" labelOnly="1" outline="0" axis="axisValues" fieldPosition="0"/>
    </format>
    <format dxfId="275">
      <pivotArea type="all" dataOnly="0" outline="0" fieldPosition="0"/>
    </format>
    <format dxfId="276">
      <pivotArea outline="0" collapsedLevelsAreSubtotals="1" fieldPosition="0"/>
    </format>
    <format dxfId="277">
      <pivotArea field="1" type="button" dataOnly="0" labelOnly="1" outline="0" axis="axisRow" fieldPosition="0"/>
    </format>
    <format dxfId="278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279">
      <pivotArea dataOnly="0" labelOnly="1" grandRow="1" outline="0" fieldPosition="0"/>
    </format>
    <format dxfId="280">
      <pivotArea dataOnly="0" labelOnly="1" outline="0" axis="axisValues" fieldPosition="0"/>
    </format>
    <format dxfId="281">
      <pivotArea type="all" dataOnly="0" outline="0" fieldPosition="0"/>
    </format>
    <format dxfId="282">
      <pivotArea outline="0" collapsedLevelsAreSubtotals="1" fieldPosition="0"/>
    </format>
    <format dxfId="283">
      <pivotArea field="1" type="button" dataOnly="0" labelOnly="1" outline="0" axis="axisRow" fieldPosition="0"/>
    </format>
    <format dxfId="284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285">
      <pivotArea dataOnly="0" labelOnly="1" grandRow="1" outline="0" fieldPosition="0"/>
    </format>
    <format dxfId="286">
      <pivotArea dataOnly="0" labelOnly="1" outline="0" axis="axisValues" fieldPosition="0"/>
    </format>
    <format dxfId="287">
      <pivotArea type="all" dataOnly="0" outline="0" fieldPosition="0"/>
    </format>
    <format dxfId="288">
      <pivotArea outline="0" collapsedLevelsAreSubtotals="1" fieldPosition="0"/>
    </format>
    <format dxfId="289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290">
      <pivotArea dataOnly="0" labelOnly="1" grandRow="1" outline="0" fieldPosition="0"/>
    </format>
    <format dxfId="291">
      <pivotArea field="1" type="button" dataOnly="0" labelOnly="1" outline="0" axis="axisRow" fieldPosition="0"/>
    </format>
    <format dxfId="292">
      <pivotArea dataOnly="0" labelOnly="1" outline="0" axis="axisValues" fieldPosition="0"/>
    </format>
    <format dxfId="293">
      <pivotArea type="all" dataOnly="0" outline="0" fieldPosition="0"/>
    </format>
    <format dxfId="294">
      <pivotArea outline="0" collapsedLevelsAreSubtotals="1" fieldPosition="0"/>
    </format>
    <format dxfId="295">
      <pivotArea field="1" type="button" dataOnly="0" labelOnly="1" outline="0" axis="axisRow" fieldPosition="0"/>
    </format>
    <format dxfId="296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297">
      <pivotArea dataOnly="0" labelOnly="1" outline="0" axis="axisValues" fieldPosition="0"/>
    </format>
    <format dxfId="298">
      <pivotArea type="all" dataOnly="0" outline="0" fieldPosition="0"/>
    </format>
    <format dxfId="299">
      <pivotArea outline="0" collapsedLevelsAreSubtotals="1" fieldPosition="0"/>
    </format>
    <format dxfId="300">
      <pivotArea field="1" type="button" dataOnly="0" labelOnly="1" outline="0" axis="axisRow" fieldPosition="0"/>
    </format>
    <format dxfId="301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302">
      <pivotArea dataOnly="0" labelOnly="1" outline="0" axis="axisValues" fieldPosition="0"/>
    </format>
  </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6ED1FA-E6CC-494A-8E31-82D5F9CA1020}" name="G06" cacheId="74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0" rowHeaderCaption="TRANSPORTADORA">
  <location ref="T4:U11" firstHeaderRow="1" firstDataRow="1" firstDataCol="1" rowPageCount="2" colPageCount="1"/>
  <pivotFields count="7">
    <pivotField axis="axisPage" multipleItemSelectionAllowed="1" showAll="0">
      <items count="21">
        <item h="1" m="1" x="16"/>
        <item h="1" x="8"/>
        <item h="1" x="12"/>
        <item h="1" x="9"/>
        <item h="1" x="10"/>
        <item h="1" x="6"/>
        <item h="1" m="1" x="19"/>
        <item h="1" x="4"/>
        <item x="2"/>
        <item h="1" m="1" x="18"/>
        <item h="1" m="1" x="17"/>
        <item h="1" x="5"/>
        <item h="1" x="15"/>
        <item h="1" x="3"/>
        <item h="1" x="0"/>
        <item h="1" x="7"/>
        <item h="1" x="1"/>
        <item h="1" x="14"/>
        <item h="1" x="13"/>
        <item h="1" x="11"/>
        <item t="default"/>
      </items>
    </pivotField>
    <pivotField axis="axisRow" showAll="0" sortType="descending">
      <items count="10">
        <item x="1"/>
        <item x="4"/>
        <item x="5"/>
        <item x="2"/>
        <item x="0"/>
        <item x="3"/>
        <item x="6"/>
        <item x="8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4"/>
        <item x="9"/>
        <item x="13"/>
        <item x="15"/>
        <item x="16"/>
        <item x="18"/>
        <item x="11"/>
        <item x="12"/>
        <item x="17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7">
    <i>
      <x v="4"/>
    </i>
    <i>
      <x v="2"/>
    </i>
    <i>
      <x/>
    </i>
    <i>
      <x v="5"/>
    </i>
    <i>
      <x v="3"/>
    </i>
    <i>
      <x v="1"/>
    </i>
    <i>
      <x v="6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36">
    <format dxfId="231">
      <pivotArea outline="0" collapsedLevelsAreSubtotals="1" fieldPosition="0"/>
    </format>
    <format dxfId="232">
      <pivotArea dataOnly="0" labelOnly="1" outline="0" axis="axisValues" fieldPosition="0"/>
    </format>
    <format dxfId="233">
      <pivotArea type="all" dataOnly="0" outline="0" fieldPosition="0"/>
    </format>
    <format dxfId="234">
      <pivotArea outline="0" collapsedLevelsAreSubtotals="1" fieldPosition="0"/>
    </format>
    <format dxfId="235">
      <pivotArea field="1" type="button" dataOnly="0" labelOnly="1" outline="0" axis="axisRow" fieldPosition="0"/>
    </format>
    <format dxfId="236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237">
      <pivotArea dataOnly="0" labelOnly="1" grandRow="1" outline="0" fieldPosition="0"/>
    </format>
    <format dxfId="238">
      <pivotArea dataOnly="0" labelOnly="1" outline="0" axis="axisValues" fieldPosition="0"/>
    </format>
    <format dxfId="239">
      <pivotArea type="all" dataOnly="0" outline="0" fieldPosition="0"/>
    </format>
    <format dxfId="240">
      <pivotArea outline="0" collapsedLevelsAreSubtotals="1" fieldPosition="0"/>
    </format>
    <format dxfId="241">
      <pivotArea field="1" type="button" dataOnly="0" labelOnly="1" outline="0" axis="axisRow" fieldPosition="0"/>
    </format>
    <format dxfId="242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243">
      <pivotArea dataOnly="0" labelOnly="1" grandRow="1" outline="0" fieldPosition="0"/>
    </format>
    <format dxfId="244">
      <pivotArea dataOnly="0" labelOnly="1" outline="0" axis="axisValues" fieldPosition="0"/>
    </format>
    <format dxfId="245">
      <pivotArea type="all" dataOnly="0" outline="0" fieldPosition="0"/>
    </format>
    <format dxfId="246">
      <pivotArea outline="0" collapsedLevelsAreSubtotals="1" fieldPosition="0"/>
    </format>
    <format dxfId="247">
      <pivotArea field="1" type="button" dataOnly="0" labelOnly="1" outline="0" axis="axisRow" fieldPosition="0"/>
    </format>
    <format dxfId="248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249">
      <pivotArea dataOnly="0" labelOnly="1" grandRow="1" outline="0" fieldPosition="0"/>
    </format>
    <format dxfId="250">
      <pivotArea dataOnly="0" labelOnly="1" outline="0" axis="axisValues" fieldPosition="0"/>
    </format>
    <format dxfId="251">
      <pivotArea type="all" dataOnly="0" outline="0" fieldPosition="0"/>
    </format>
    <format dxfId="252">
      <pivotArea outline="0" collapsedLevelsAreSubtotals="1" fieldPosition="0"/>
    </format>
    <format dxfId="253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254">
      <pivotArea dataOnly="0" labelOnly="1" grandRow="1" outline="0" fieldPosition="0"/>
    </format>
    <format dxfId="255">
      <pivotArea field="1" type="button" dataOnly="0" labelOnly="1" outline="0" axis="axisRow" fieldPosition="0"/>
    </format>
    <format dxfId="256">
      <pivotArea dataOnly="0" labelOnly="1" outline="0" axis="axisValues" fieldPosition="0"/>
    </format>
    <format dxfId="257">
      <pivotArea type="all" dataOnly="0" outline="0" fieldPosition="0"/>
    </format>
    <format dxfId="258">
      <pivotArea outline="0" collapsedLevelsAreSubtotals="1" fieldPosition="0"/>
    </format>
    <format dxfId="259">
      <pivotArea field="1" type="button" dataOnly="0" labelOnly="1" outline="0" axis="axisRow" fieldPosition="0"/>
    </format>
    <format dxfId="260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261">
      <pivotArea dataOnly="0" labelOnly="1" outline="0" axis="axisValues" fieldPosition="0"/>
    </format>
    <format dxfId="262">
      <pivotArea type="all" dataOnly="0" outline="0" fieldPosition="0"/>
    </format>
    <format dxfId="263">
      <pivotArea outline="0" collapsedLevelsAreSubtotals="1" fieldPosition="0"/>
    </format>
    <format dxfId="264">
      <pivotArea field="1" type="button" dataOnly="0" labelOnly="1" outline="0" axis="axisRow" fieldPosition="0"/>
    </format>
    <format dxfId="265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266">
      <pivotArea dataOnly="0" labelOnly="1" outline="0" axis="axisValues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8A091B-C219-4BC2-9F66-38E2D29C6219}" name="G03" cacheId="75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2" rowHeaderCaption="TERCEIRO" colHeaderCaption=".">
  <location ref="M4:O12" firstHeaderRow="0" firstDataRow="1" firstDataCol="1" rowPageCount="1" colPageCount="1"/>
  <pivotFields count="19">
    <pivotField showAll="0" defaultSubtotal="0"/>
    <pivotField axis="axisRow" showAll="0" measureFilter="1" sortType="descending" defaultSubtotal="0">
      <items count="13">
        <item x="12"/>
        <item x="8"/>
        <item x="2"/>
        <item x="4"/>
        <item x="1"/>
        <item x="7"/>
        <item x="0"/>
        <item x="9"/>
        <item x="6"/>
        <item x="3"/>
        <item x="5"/>
        <item x="11"/>
        <item x="1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axis="axisPage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21"/>
        <item x="12"/>
        <item x="13"/>
        <item x="14"/>
        <item x="15"/>
        <item x="16"/>
        <item x="18"/>
        <item x="20"/>
        <item x="17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7">
        <item m="1" x="6"/>
        <item x="2"/>
        <item x="4"/>
        <item x="1"/>
        <item x="3"/>
        <item x="0"/>
        <item h="1" x="5"/>
      </items>
    </pivotField>
  </pivotFields>
  <rowFields count="1">
    <field x="1"/>
  </rowFields>
  <rowItems count="8">
    <i>
      <x v="4"/>
    </i>
    <i>
      <x v="7"/>
    </i>
    <i>
      <x v="8"/>
    </i>
    <i>
      <x v="1"/>
    </i>
    <i>
      <x v="6"/>
    </i>
    <i>
      <x v="3"/>
    </i>
    <i>
      <x v="5"/>
    </i>
    <i>
      <x v="2"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Valor Total" fld="5" baseField="18" baseItem="0"/>
    <dataField name="Total KM" fld="3" baseField="0" baseItem="0" numFmtId="1"/>
  </dataFields>
  <formats count="55">
    <format dxfId="176">
      <pivotArea type="all" dataOnly="0" outline="0" fieldPosition="0"/>
    </format>
    <format dxfId="177">
      <pivotArea outline="0" collapsedLevelsAreSubtotals="1" fieldPosition="0"/>
    </format>
    <format dxfId="178">
      <pivotArea type="origin" dataOnly="0" labelOnly="1" outline="0" fieldPosition="0"/>
    </format>
    <format dxfId="179">
      <pivotArea field="18" type="button" dataOnly="0" labelOnly="1" outline="0"/>
    </format>
    <format dxfId="180">
      <pivotArea type="topRight" dataOnly="0" labelOnly="1" outline="0" fieldPosition="0"/>
    </format>
    <format dxfId="181">
      <pivotArea field="-2" type="button" dataOnly="0" labelOnly="1" outline="0" axis="axisCol" fieldPosition="0"/>
    </format>
    <format dxfId="18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83">
      <pivotArea dataOnly="0" labelOnly="1" grandCol="1" outline="0" fieldPosition="0"/>
    </format>
    <format dxfId="184">
      <pivotArea type="all" dataOnly="0" outline="0" fieldPosition="0"/>
    </format>
    <format dxfId="185">
      <pivotArea outline="0" collapsedLevelsAreSubtotals="1" fieldPosition="0"/>
    </format>
    <format dxfId="186">
      <pivotArea type="origin" dataOnly="0" labelOnly="1" outline="0" fieldPosition="0"/>
    </format>
    <format dxfId="187">
      <pivotArea field="18" type="button" dataOnly="0" labelOnly="1" outline="0"/>
    </format>
    <format dxfId="188">
      <pivotArea type="topRight" dataOnly="0" labelOnly="1" outline="0" fieldPosition="0"/>
    </format>
    <format dxfId="189">
      <pivotArea field="-2" type="button" dataOnly="0" labelOnly="1" outline="0" axis="axisCol" fieldPosition="0"/>
    </format>
    <format dxfId="190">
      <pivotArea dataOnly="0" labelOnly="1" grandCol="1" outline="0" fieldPosition="0"/>
    </format>
    <format dxfId="191">
      <pivotArea outline="0" collapsedLevelsAreSubtotals="1" fieldPosition="0"/>
    </format>
    <format dxfId="192">
      <pivotArea grandCol="1" outline="0" collapsedLevelsAreSubtotals="1" fieldPosition="0"/>
    </format>
    <format dxfId="193">
      <pivotArea dataOnly="0" labelOnly="1" grandCol="1" outline="0" fieldPosition="0"/>
    </format>
    <format dxfId="194">
      <pivotArea grandCol="1" outline="0" collapsedLevelsAreSubtotals="1" fieldPosition="0"/>
    </format>
    <format dxfId="19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96">
      <pivotArea type="all" dataOnly="0" outline="0" fieldPosition="0"/>
    </format>
    <format dxfId="197">
      <pivotArea outline="0" collapsedLevelsAreSubtotals="1" fieldPosition="0"/>
    </format>
    <format dxfId="198">
      <pivotArea field="1" type="button" dataOnly="0" labelOnly="1" outline="0" axis="axisRow" fieldPosition="0"/>
    </format>
    <format dxfId="199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0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1">
      <pivotArea type="all" dataOnly="0" outline="0" fieldPosition="0"/>
    </format>
    <format dxfId="202">
      <pivotArea outline="0" collapsedLevelsAreSubtotals="1" fieldPosition="0"/>
    </format>
    <format dxfId="203">
      <pivotArea field="1" type="button" dataOnly="0" labelOnly="1" outline="0" axis="axisRow" fieldPosition="0"/>
    </format>
    <format dxfId="204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0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6">
      <pivotArea type="all" dataOnly="0" outline="0" fieldPosition="0"/>
    </format>
    <format dxfId="207">
      <pivotArea outline="0" collapsedLevelsAreSubtotals="1" fieldPosition="0"/>
    </format>
    <format dxfId="208">
      <pivotArea field="1" type="button" dataOnly="0" labelOnly="1" outline="0" axis="axisRow" fieldPosition="0"/>
    </format>
    <format dxfId="209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11">
      <pivotArea type="all" dataOnly="0" outline="0" fieldPosition="0"/>
    </format>
    <format dxfId="212">
      <pivotArea outline="0" collapsedLevelsAreSubtotals="1" fieldPosition="0"/>
    </format>
    <format dxfId="213">
      <pivotArea field="1" type="button" dataOnly="0" labelOnly="1" outline="0" axis="axisRow" fieldPosition="0"/>
    </format>
    <format dxfId="214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1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16">
      <pivotArea type="all" dataOnly="0" outline="0" fieldPosition="0"/>
    </format>
    <format dxfId="217">
      <pivotArea outline="0" collapsedLevelsAreSubtotals="1" fieldPosition="0"/>
    </format>
    <format dxfId="218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19">
      <pivotArea field="1" type="button" dataOnly="0" labelOnly="1" outline="0" axis="axisRow" fieldPosition="0"/>
    </format>
    <format dxfId="22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1">
      <pivotArea type="all" dataOnly="0" outline="0" fieldPosition="0"/>
    </format>
    <format dxfId="222">
      <pivotArea outline="0" collapsedLevelsAreSubtotals="1" fieldPosition="0"/>
    </format>
    <format dxfId="223">
      <pivotArea field="1" type="button" dataOnly="0" labelOnly="1" outline="0" axis="axisRow" fieldPosition="0"/>
    </format>
    <format dxfId="224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2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6">
      <pivotArea type="all" dataOnly="0" outline="0" fieldPosition="0"/>
    </format>
    <format dxfId="227">
      <pivotArea outline="0" collapsedLevelsAreSubtotals="1" fieldPosition="0"/>
    </format>
    <format dxfId="228">
      <pivotArea field="1" type="button" dataOnly="0" labelOnly="1" outline="0" axis="axisRow" fieldPosition="0"/>
    </format>
    <format dxfId="229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3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Medium11" showRowHeaders="1" showColHeaders="1" showRowStripes="0" showColStripes="0" showLastColumn="1"/>
  <filters count="1">
    <filter fld="1" type="valueGreaterThan" evalOrder="-1" id="1" iMeasureFld="0">
      <autoFilter ref="A1">
        <filterColumn colId="0">
          <customFilters>
            <customFilter operator="greaterThan" val="1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38DF7A-DCE4-4999-8E7E-8D36E7E26FAA}" name="Tabela dinâmica7" cacheId="74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0" rowHeaderCaption="TRANSPORTADORA">
  <location ref="T24:U31" firstHeaderRow="1" firstDataRow="1" firstDataCol="1" rowPageCount="2" colPageCount="1"/>
  <pivotFields count="7">
    <pivotField axis="axisPage" multipleItemSelectionAllowed="1" showAll="0">
      <items count="21">
        <item h="1" m="1" x="16"/>
        <item h="1" x="8"/>
        <item h="1" x="12"/>
        <item h="1" x="9"/>
        <item h="1" x="10"/>
        <item h="1" x="6"/>
        <item h="1" m="1" x="19"/>
        <item h="1" x="4"/>
        <item x="2"/>
        <item h="1" m="1" x="18"/>
        <item h="1" m="1" x="17"/>
        <item h="1" x="5"/>
        <item h="1" x="15"/>
        <item h="1" x="3"/>
        <item h="1" x="0"/>
        <item h="1" x="7"/>
        <item h="1" x="1"/>
        <item h="1" x="14"/>
        <item h="1" x="13"/>
        <item h="1" x="11"/>
        <item t="default"/>
      </items>
    </pivotField>
    <pivotField axis="axisRow" showAll="0" sortType="descending">
      <items count="10">
        <item x="1"/>
        <item x="4"/>
        <item x="5"/>
        <item x="2"/>
        <item x="0"/>
        <item x="3"/>
        <item x="6"/>
        <item x="8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4"/>
        <item x="9"/>
        <item x="13"/>
        <item x="15"/>
        <item x="16"/>
        <item x="18"/>
        <item x="11"/>
        <item x="12"/>
        <item x="17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7">
    <i>
      <x v="4"/>
    </i>
    <i>
      <x v="2"/>
    </i>
    <i>
      <x/>
    </i>
    <i>
      <x v="5"/>
    </i>
    <i>
      <x v="3"/>
    </i>
    <i>
      <x v="1"/>
    </i>
    <i>
      <x v="6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36">
    <format dxfId="140">
      <pivotArea outline="0" collapsedLevelsAreSubtotals="1" fieldPosition="0"/>
    </format>
    <format dxfId="141">
      <pivotArea dataOnly="0" labelOnly="1" outline="0" axis="axisValues" fieldPosition="0"/>
    </format>
    <format dxfId="142">
      <pivotArea type="all" dataOnly="0" outline="0" fieldPosition="0"/>
    </format>
    <format dxfId="143">
      <pivotArea outline="0" collapsedLevelsAreSubtotals="1" fieldPosition="0"/>
    </format>
    <format dxfId="144">
      <pivotArea field="1" type="button" dataOnly="0" labelOnly="1" outline="0" axis="axisRow" fieldPosition="0"/>
    </format>
    <format dxfId="145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146">
      <pivotArea dataOnly="0" labelOnly="1" grandRow="1" outline="0" fieldPosition="0"/>
    </format>
    <format dxfId="147">
      <pivotArea dataOnly="0" labelOnly="1" outline="0" axis="axisValues" fieldPosition="0"/>
    </format>
    <format dxfId="148">
      <pivotArea type="all" dataOnly="0" outline="0" fieldPosition="0"/>
    </format>
    <format dxfId="149">
      <pivotArea outline="0" collapsedLevelsAreSubtotals="1" fieldPosition="0"/>
    </format>
    <format dxfId="150">
      <pivotArea field="1" type="button" dataOnly="0" labelOnly="1" outline="0" axis="axisRow" fieldPosition="0"/>
    </format>
    <format dxfId="151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152">
      <pivotArea dataOnly="0" labelOnly="1" grandRow="1" outline="0" fieldPosition="0"/>
    </format>
    <format dxfId="153">
      <pivotArea dataOnly="0" labelOnly="1" outline="0" axis="axisValues" fieldPosition="0"/>
    </format>
    <format dxfId="154">
      <pivotArea type="all" dataOnly="0" outline="0" fieldPosition="0"/>
    </format>
    <format dxfId="155">
      <pivotArea outline="0" collapsedLevelsAreSubtotals="1" fieldPosition="0"/>
    </format>
    <format dxfId="156">
      <pivotArea field="1" type="button" dataOnly="0" labelOnly="1" outline="0" axis="axisRow" fieldPosition="0"/>
    </format>
    <format dxfId="157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158">
      <pivotArea dataOnly="0" labelOnly="1" grandRow="1" outline="0" fieldPosition="0"/>
    </format>
    <format dxfId="159">
      <pivotArea dataOnly="0" labelOnly="1" outline="0" axis="axisValues" fieldPosition="0"/>
    </format>
    <format dxfId="160">
      <pivotArea type="all" dataOnly="0" outline="0" fieldPosition="0"/>
    </format>
    <format dxfId="161">
      <pivotArea outline="0" collapsedLevelsAreSubtotals="1" fieldPosition="0"/>
    </format>
    <format dxfId="162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163">
      <pivotArea dataOnly="0" labelOnly="1" grandRow="1" outline="0" fieldPosition="0"/>
    </format>
    <format dxfId="164">
      <pivotArea field="1" type="button" dataOnly="0" labelOnly="1" outline="0" axis="axisRow" fieldPosition="0"/>
    </format>
    <format dxfId="165">
      <pivotArea dataOnly="0" labelOnly="1" outline="0" axis="axisValues" fieldPosition="0"/>
    </format>
    <format dxfId="166">
      <pivotArea type="all" dataOnly="0" outline="0" fieldPosition="0"/>
    </format>
    <format dxfId="167">
      <pivotArea outline="0" collapsedLevelsAreSubtotals="1" fieldPosition="0"/>
    </format>
    <format dxfId="168">
      <pivotArea field="1" type="button" dataOnly="0" labelOnly="1" outline="0" axis="axisRow" fieldPosition="0"/>
    </format>
    <format dxfId="169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170">
      <pivotArea dataOnly="0" labelOnly="1" outline="0" axis="axisValues" fieldPosition="0"/>
    </format>
    <format dxfId="171">
      <pivotArea type="all" dataOnly="0" outline="0" fieldPosition="0"/>
    </format>
    <format dxfId="172">
      <pivotArea outline="0" collapsedLevelsAreSubtotals="1" fieldPosition="0"/>
    </format>
    <format dxfId="173">
      <pivotArea field="1" type="button" dataOnly="0" labelOnly="1" outline="0" axis="axisRow" fieldPosition="0"/>
    </format>
    <format dxfId="174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175">
      <pivotArea dataOnly="0" labelOnly="1" outline="0" axis="axisValues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F8731EE-6508-430A-AF16-B3E6D6D28CFA}" name="TabelaG12" displayName="TabelaG12" ref="AK4:AL6" totalsRowShown="0" headerRowDxfId="139" dataDxfId="138">
  <tableColumns count="2">
    <tableColumn id="1" xr3:uid="{BD78F582-6259-4320-999F-FA0D3BB5DA43}" name="CAMINHÃO" dataDxfId="137"/>
    <tableColumn id="2" xr3:uid="{0F843988-D922-4A1C-8A0C-BDC600E22BCE}" name="APROVEITAMENTO" dataDxfId="136">
      <calculatedColumnFormula>IFERROR((AJ5*24)/(AF5*8),0)</calculatedColumnFormula>
    </tableColumn>
  </tableColumns>
  <tableStyleInfo name="JD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31DF56-C588-44ED-BC96-B9FEF7FD93D0}" name="TabelaG01" displayName="TabelaG01" ref="B4:G6" totalsRowShown="0" headerRowDxfId="135" dataDxfId="134">
  <tableColumns count="6">
    <tableColumn id="1" xr3:uid="{BB091029-AC6F-47E9-B22A-A5E42AE7957C}" name="TP" dataDxfId="133"/>
    <tableColumn id="2" xr3:uid="{A4BBAC98-3DFA-4B44-A572-88CFB1CEBD98}" name="COLHEITADEIRA" dataDxfId="132"/>
    <tableColumn id="3" xr3:uid="{463AB992-04D5-46C0-8E2C-C0B3E1D552C7}" name="PLANTADEIRA" dataDxfId="131"/>
    <tableColumn id="4" xr3:uid="{B6FE87AD-4DA9-42C8-8542-A3358FEEB5EE}" name="PLATAFORMA" dataDxfId="130"/>
    <tableColumn id="5" xr3:uid="{54420D56-3B57-4966-92F0-D73B54935B61}" name="PULVERIZADOR" dataDxfId="129"/>
    <tableColumn id="6" xr3:uid="{07ECA341-AD55-4A0D-B841-1E7D13B12660}" name="TRATOR" dataDxfId="128"/>
  </tableColumns>
  <tableStyleInfo name="JD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3CAA994-0B68-417E-8E63-BDC269181FC8}" name="TabelaG127" displayName="TabelaG127" ref="AK24:AL26" totalsRowShown="0" headerRowDxfId="127" dataDxfId="126">
  <tableColumns count="2">
    <tableColumn id="1" xr3:uid="{5620D0D0-1BF1-4BDC-8053-230A93A77894}" name="CAMINHÃO" dataDxfId="125"/>
    <tableColumn id="2" xr3:uid="{9A470B63-1BDF-4D67-A7E3-662C50627FC0}" name="APROVEITAMENTO" dataDxfId="124">
      <calculatedColumnFormula>IFERROR((AJ25*24)/(AF25*8),0)</calculatedColumnFormula>
    </tableColumn>
  </tableColumns>
  <tableStyleInfo name="JD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89303A-AE17-4430-83ED-DB93AFEAC6FB}" name="TabelaG019" displayName="TabelaG019" ref="B24:G26" totalsRowShown="0" headerRowDxfId="123" dataDxfId="122">
  <tableColumns count="6">
    <tableColumn id="1" xr3:uid="{8634CC38-52D1-4250-A455-5457FA7DB5EF}" name="TP" dataDxfId="121"/>
    <tableColumn id="2" xr3:uid="{A6B5035D-219C-4062-ACB7-129372DBB623}" name="COLHEITADEIRA" dataDxfId="120"/>
    <tableColumn id="3" xr3:uid="{7CF7A950-3D13-4C11-AEDD-E5BDB748C27E}" name="PLANTADEIRA" dataDxfId="119"/>
    <tableColumn id="4" xr3:uid="{71B05766-6986-4C62-8E0D-D7C28C7A95F6}" name="PLATAFORMA" dataDxfId="118"/>
    <tableColumn id="5" xr3:uid="{06893994-060E-41D7-94D5-7A84EC2825DA}" name="PULVERIZADOR" dataDxfId="117"/>
    <tableColumn id="6" xr3:uid="{D9CA6634-D21F-4C58-819D-8660D13FBB2E}" name="TRATOR" dataDxfId="116"/>
  </tableColumns>
  <tableStyleInfo name="JD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1DFAF5-07E2-4C34-9DA3-6DAA1EB10B39}" name="MÁQUINAS" displayName="MÁQUINAS" ref="A1:S101" totalsRowShown="0" headerRowDxfId="104" dataDxfId="103">
  <autoFilter ref="A1:S101" xr:uid="{721DFAF5-07E2-4C34-9DA3-6DAA1EB10B39}"/>
  <sortState xmlns:xlrd2="http://schemas.microsoft.com/office/spreadsheetml/2017/richdata2" ref="A2:S101">
    <sortCondition ref="H1:H101"/>
  </sortState>
  <tableColumns count="19">
    <tableColumn id="1" xr3:uid="{74088FA4-9F2D-4E29-80DA-4FFA894E77F4}" name="STATUS" dataDxfId="102"/>
    <tableColumn id="2" xr3:uid="{8BF83C7C-9ED1-47DD-BC5F-63DA1560216C}" name="FRETE" dataDxfId="101"/>
    <tableColumn id="3" xr3:uid="{B758A2AA-452E-4F91-A2A6-E8CD9100E3DE}" name="HR" dataDxfId="100">
      <calculatedColumnFormula>IFERROR((D2*1.5)/1440, "?")</calculatedColumnFormula>
    </tableColumn>
    <tableColumn id="4" xr3:uid="{65BC45AA-44C5-4933-ADBD-7603EB922BE5}" name="KM" dataDxfId="99"/>
    <tableColumn id="5" xr3:uid="{276116FF-109D-41D4-97B8-33BDEC97F408}" name="R$ PROP" dataDxfId="98">
      <calculatedColumnFormula>IFERROR((D2*6),"?")</calculatedColumnFormula>
    </tableColumn>
    <tableColumn id="6" xr3:uid="{70534257-D783-4146-96E1-2E685CBB89A4}" name="R$ TERC" dataDxfId="97"/>
    <tableColumn id="7" xr3:uid="{3D60D21C-F567-43A3-8E40-BE7F689ECF34}" name="CHASSI" dataDxfId="96"/>
    <tableColumn id="8" xr3:uid="{52559DB2-54FE-4292-B44C-9CD4CF656213}" name="PREV" dataDxfId="95"/>
    <tableColumn id="9" xr3:uid="{83C52D74-44DB-466D-8572-853956B9E720}" name="REAL" dataDxfId="94"/>
    <tableColumn id="10" xr3:uid="{F096729E-B5E6-4D3D-B03C-234DF10FC38E}" name="CLIENTE/NOTA" dataDxfId="93"/>
    <tableColumn id="11" xr3:uid="{9AD47A28-9E98-4261-BB4E-53A18FCF11A6}" name="SOLICITANTE" dataDxfId="92"/>
    <tableColumn id="12" xr3:uid="{797C4B0D-8EC2-4476-9B1D-9680399D22D2}" name="ESTÁ:" dataDxfId="91"/>
    <tableColumn id="13" xr3:uid="{78010355-1A74-41F4-AEBD-3035D2289546}" name="VAI:" dataDxfId="90"/>
    <tableColumn id="14" xr3:uid="{77527C27-6C98-47E9-848B-1D141B3F645A}" name="TIPO" dataDxfId="89"/>
    <tableColumn id="15" xr3:uid="{7B83F651-80C0-40BF-A436-446D32DB61AE}" name="ESTÁ EM:" dataDxfId="88"/>
    <tableColumn id="16" xr3:uid="{26BED5E2-C25C-4647-855D-C4EE6753E61E}" name="VAI PARA:" dataDxfId="87"/>
    <tableColumn id="17" xr3:uid="{22FC017A-B677-426F-90FC-92BAB89D9B4A}" name="OBS" dataDxfId="86"/>
    <tableColumn id="18" xr3:uid="{5AC9D283-0F34-4EF4-A53A-85F8F57E85F2}" name="FILIAL CUSTOS" dataDxfId="85"/>
    <tableColumn id="19" xr3:uid="{DC4F9CD0-326F-411D-8AC9-ED6CAB7FB1E9}" name="EQUIP" dataDxfId="84"/>
  </tableColumns>
  <tableStyleInfo name="JD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58ED65-99DD-4790-A9ED-259A68223EBB}" name="PEDIDOS" displayName="PEDIDOS" ref="A1:L126" totalsRowShown="0" headerRowDxfId="78" dataDxfId="77">
  <autoFilter ref="A1:L126" xr:uid="{CE58ED65-99DD-4790-A9ED-259A68223EBB}"/>
  <sortState xmlns:xlrd2="http://schemas.microsoft.com/office/spreadsheetml/2017/richdata2" ref="A2:L126">
    <sortCondition descending="1" ref="J1:J126"/>
  </sortState>
  <tableColumns count="12">
    <tableColumn id="1" xr3:uid="{54382593-1F81-433D-9F93-B76C818187F0}" name="TIPO" dataDxfId="76"/>
    <tableColumn id="2" xr3:uid="{4398062D-7437-47E0-8D47-2FB2DD82042D}" name="FILIAL" dataDxfId="75"/>
    <tableColumn id="3" xr3:uid="{5B021649-4C1E-448A-856D-B68EBD29FE35}" name="DATA" dataDxfId="74"/>
    <tableColumn id="4" xr3:uid="{20475BEE-899B-4456-A60C-6E5E5830D60A}" name="PDDO" dataDxfId="73"/>
    <tableColumn id="5" xr3:uid="{52167736-38DB-447F-ABA5-F7F3030C6685}" name="CÓD" dataDxfId="72">
      <calculatedColumnFormula>_xlfn.XLOOKUP(F2,UTIL!Q:Q,UTIL!N:N,"-")</calculatedColumnFormula>
    </tableColumn>
    <tableColumn id="6" xr3:uid="{EC59F397-0DDF-40D5-9D4F-3232B9F3E3AA}" name="FORNECEDOR" dataDxfId="71"/>
    <tableColumn id="7" xr3:uid="{B62521F7-8D78-4799-9138-F4577472D985}" name="VALOR" dataDxfId="70"/>
    <tableColumn id="8" xr3:uid="{0C453D36-D8CB-40C7-924E-11F2DFA712D7}" name="STATUS PC" dataDxfId="69"/>
    <tableColumn id="9" xr3:uid="{48F02895-65FB-49A4-90AC-03012C204F59}" name="Nº NOTA" dataDxfId="68"/>
    <tableColumn id="10" xr3:uid="{09FC5BAE-1C5A-4726-9E49-5D8CA8695440}" name="LANÇADA" dataDxfId="67"/>
    <tableColumn id="11" xr3:uid="{B1E9C8B8-2111-4A21-9D28-51C2A1C336F9}" name="OBSERVAÇÕES" dataDxfId="66"/>
    <tableColumn id="12" xr3:uid="{B0E66A71-C06E-4E69-B75F-5C2A26766683}" name="SALVAR COMO" dataDxfId="65">
      <calculatedColumnFormula>TEXT($C2,"dd.mm") &amp; " -Ped " &amp; D2 &amp; " -" &amp; F2 &amp; " -R$" &amp; G2 &amp; IF(LEN(TRIM(I2))=0, "", " -NF " &amp; TRIM(I2))</calculatedColumnFormula>
    </tableColumn>
  </tableColumns>
  <tableStyleInfo name="JD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D262C-7768-4BDA-8D29-F168B9CAB568}" name="PEÇAS" displayName="PEÇAS" ref="A1:O4" totalsRowShown="0" headerRowDxfId="62" dataDxfId="61">
  <autoFilter ref="A1:O4" xr:uid="{96ED262C-7768-4BDA-8D29-F168B9CAB568}"/>
  <tableColumns count="15">
    <tableColumn id="1" xr3:uid="{B69EFEFF-F887-4E78-AED9-36BFD47C2163}" name="STATUS" dataDxfId="60"/>
    <tableColumn id="2" xr3:uid="{511D0392-1B92-4D5F-98DD-1C91F6205B11}" name="SOLICITANTE" dataDxfId="59"/>
    <tableColumn id="3" xr3:uid="{B8F596C2-530A-4F4E-B3EA-DA7EFDD27017}" name="DATA DA COLETA" dataDxfId="58"/>
    <tableColumn id="4" xr3:uid="{335FD71F-F30D-4127-A0A4-D426AF2905F5}" name="ENTREGAR ATÉ" dataDxfId="57"/>
    <tableColumn id="5" xr3:uid="{D7065B1F-B165-4C67-A25B-3F3D59C82514}" name="MOTOBOY OU DEDICADO?" dataDxfId="56"/>
    <tableColumn id="6" xr3:uid="{9B4C8DC0-A002-44B4-A11D-9A85D683BD3B}" name="ESCOLHA O MOTOBOY" dataDxfId="55"/>
    <tableColumn id="7" xr3:uid="{9EB62DF8-D35F-4A19-AB06-D3EE65940E69}" name="VALOR DO SERVIÇO" dataDxfId="54"/>
    <tableColumn id="8" xr3:uid="{C3036426-E777-46AB-84E5-08F83C7C9F53}" name="QUEM IRÁ PAGAR?" dataDxfId="53"/>
    <tableColumn id="9" xr3:uid="{0390CDD6-5242-4A5E-9D53-EED122D1E773}" name="DESCRIÇÃO" dataDxfId="52"/>
    <tableColumn id="10" xr3:uid="{FBE8999B-D804-4BFB-A0E7-72089F3212C5}" name="PC PARA LOJA" dataDxfId="51"/>
    <tableColumn id="11" xr3:uid="{16B4FCA8-5A17-4B38-9C2F-3C425FA1D0A3}" name="ENVIAR PC PARA" dataDxfId="50"/>
    <tableColumn id="12" xr3:uid="{B5E3C04A-C416-406E-A41C-9B7D05AF6671}" name="DIMENSÕES" dataDxfId="49"/>
    <tableColumn id="13" xr3:uid="{53E9EDB7-BFDB-4482-B5CF-080269012427}" name="LOC COLETA" dataDxfId="48"/>
    <tableColumn id="14" xr3:uid="{04D10BCA-DA76-463F-8C98-1877641F1A10}" name="LOC ENTREGA" dataDxfId="47"/>
    <tableColumn id="15" xr3:uid="{71FE7848-F2AE-4B15-AC80-5B18D6B94E26}" name="SUGESTÃO TRANSP" dataDxfId="46"/>
  </tableColumns>
  <tableStyleInfo name="JD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18" Type="http://schemas.openxmlformats.org/officeDocument/2006/relationships/pivotTable" Target="../pivotTables/pivotTable18.xml"/><Relationship Id="rId26" Type="http://schemas.openxmlformats.org/officeDocument/2006/relationships/table" Target="../tables/table3.xml"/><Relationship Id="rId3" Type="http://schemas.openxmlformats.org/officeDocument/2006/relationships/pivotTable" Target="../pivotTables/pivotTable3.xml"/><Relationship Id="rId21" Type="http://schemas.openxmlformats.org/officeDocument/2006/relationships/pivotTable" Target="../pivotTables/pivotTable21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17" Type="http://schemas.openxmlformats.org/officeDocument/2006/relationships/pivotTable" Target="../pivotTables/pivotTable17.xml"/><Relationship Id="rId25" Type="http://schemas.openxmlformats.org/officeDocument/2006/relationships/table" Target="../tables/table2.xml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20" Type="http://schemas.openxmlformats.org/officeDocument/2006/relationships/pivotTable" Target="../pivotTables/pivotTable20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24" Type="http://schemas.openxmlformats.org/officeDocument/2006/relationships/table" Target="../tables/table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23" Type="http://schemas.openxmlformats.org/officeDocument/2006/relationships/drawing" Target="../drawings/drawing1.xml"/><Relationship Id="rId10" Type="http://schemas.openxmlformats.org/officeDocument/2006/relationships/pivotTable" Target="../pivotTables/pivotTable10.xml"/><Relationship Id="rId19" Type="http://schemas.openxmlformats.org/officeDocument/2006/relationships/pivotTable" Target="../pivotTables/pivotTable19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Relationship Id="rId22" Type="http://schemas.openxmlformats.org/officeDocument/2006/relationships/pivotTable" Target="../pivotTables/pivotTable22.xml"/><Relationship Id="rId27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TYsDXWU4kqkeGb8D6" TargetMode="External"/><Relationship Id="rId21" Type="http://schemas.openxmlformats.org/officeDocument/2006/relationships/hyperlink" Target="https://maps.app.goo.gl/z97gB1Y9xEQEsjNf6" TargetMode="External"/><Relationship Id="rId42" Type="http://schemas.openxmlformats.org/officeDocument/2006/relationships/hyperlink" Target="https://maps.app.goo.gl/kgJbu1HMjsUxtg7P7" TargetMode="External"/><Relationship Id="rId47" Type="http://schemas.openxmlformats.org/officeDocument/2006/relationships/hyperlink" Target="https://maps.app.goo.gl/1TQNr4KwZ3aiboXJ6" TargetMode="External"/><Relationship Id="rId63" Type="http://schemas.openxmlformats.org/officeDocument/2006/relationships/hyperlink" Target="https://maps.app.goo.gl/2DJawZBMR4yqycss9" TargetMode="External"/><Relationship Id="rId68" Type="http://schemas.openxmlformats.org/officeDocument/2006/relationships/hyperlink" Target="https://maps.app.goo.gl/3soe1M5yfNku9zP88" TargetMode="External"/><Relationship Id="rId2" Type="http://schemas.openxmlformats.org/officeDocument/2006/relationships/hyperlink" Target="https://maps.app.goo.gl/xyQpe8BG44WqsG1v9" TargetMode="External"/><Relationship Id="rId16" Type="http://schemas.openxmlformats.org/officeDocument/2006/relationships/hyperlink" Target="https://maps.app.goo.gl/F6zwbnVFirHNNuCLA" TargetMode="External"/><Relationship Id="rId29" Type="http://schemas.openxmlformats.org/officeDocument/2006/relationships/hyperlink" Target="https://maps.app.goo.gl/w2FYcAi8ZYYfJ88Y8" TargetMode="External"/><Relationship Id="rId11" Type="http://schemas.openxmlformats.org/officeDocument/2006/relationships/hyperlink" Target="https://maps.app.goo.gl/Kk5FKYUBPHUbo26P8" TargetMode="External"/><Relationship Id="rId24" Type="http://schemas.openxmlformats.org/officeDocument/2006/relationships/hyperlink" Target="https://maps.app.goo.gl/TYsDXWU4kqkeGb8D6" TargetMode="External"/><Relationship Id="rId32" Type="http://schemas.openxmlformats.org/officeDocument/2006/relationships/hyperlink" Target="https://maps.app.goo.gl/2DJawZBMR4yqycss9" TargetMode="External"/><Relationship Id="rId37" Type="http://schemas.openxmlformats.org/officeDocument/2006/relationships/hyperlink" Target="https://maps.app.goo.gl/tbQZRQV4a7fp35NM6" TargetMode="External"/><Relationship Id="rId40" Type="http://schemas.openxmlformats.org/officeDocument/2006/relationships/hyperlink" Target="https://maps.app.goo.gl/kgJbu1HMjsUxtg7P7" TargetMode="External"/><Relationship Id="rId45" Type="http://schemas.openxmlformats.org/officeDocument/2006/relationships/hyperlink" Target="https://maps.app.goo.gl/1TQNr4KwZ3aiboXJ6" TargetMode="External"/><Relationship Id="rId53" Type="http://schemas.openxmlformats.org/officeDocument/2006/relationships/hyperlink" Target="https://maps.app.goo.gl/HAQzMitpSPVxhKFi9" TargetMode="External"/><Relationship Id="rId58" Type="http://schemas.openxmlformats.org/officeDocument/2006/relationships/hyperlink" Target="https://maps.app.goo.gl/HAQzMitpSPVxhKFi9" TargetMode="External"/><Relationship Id="rId66" Type="http://schemas.openxmlformats.org/officeDocument/2006/relationships/hyperlink" Target="https://maps.app.goo.gl/3soe1M5yfNku9zP88" TargetMode="External"/><Relationship Id="rId74" Type="http://schemas.openxmlformats.org/officeDocument/2006/relationships/hyperlink" Target="https://maps.app.goo.gl/1TQNr4KwZ3aiboXJ6" TargetMode="External"/><Relationship Id="rId5" Type="http://schemas.openxmlformats.org/officeDocument/2006/relationships/hyperlink" Target="https://maps.app.goo.gl/u6RQ92AcKr5YZVN5A" TargetMode="External"/><Relationship Id="rId61" Type="http://schemas.openxmlformats.org/officeDocument/2006/relationships/hyperlink" Target="https://maps.app.goo.gl/tbQZRQV4a7fp35NM6" TargetMode="External"/><Relationship Id="rId19" Type="http://schemas.openxmlformats.org/officeDocument/2006/relationships/hyperlink" Target="https://maps.app.goo.gl/w2FYcAi8ZYYfJ88Y8" TargetMode="External"/><Relationship Id="rId14" Type="http://schemas.openxmlformats.org/officeDocument/2006/relationships/hyperlink" Target="https://maps.app.goo.gl/PXTmMqoYPtx48Gex6" TargetMode="External"/><Relationship Id="rId22" Type="http://schemas.openxmlformats.org/officeDocument/2006/relationships/hyperlink" Target="https://maps.app.goo.gl/VQtNqdXpX1Nn1Cwt8" TargetMode="External"/><Relationship Id="rId27" Type="http://schemas.openxmlformats.org/officeDocument/2006/relationships/hyperlink" Target="https://maps.app.goo.gl/TYsDXWU4kqkeGb8D6" TargetMode="External"/><Relationship Id="rId30" Type="http://schemas.openxmlformats.org/officeDocument/2006/relationships/hyperlink" Target="https://maps.app.goo.gl/Pdqbe6rfdzAyjWvL8" TargetMode="External"/><Relationship Id="rId35" Type="http://schemas.openxmlformats.org/officeDocument/2006/relationships/hyperlink" Target="https://maps.app.goo.gl/rhzoBgFndL48HhK79" TargetMode="External"/><Relationship Id="rId43" Type="http://schemas.openxmlformats.org/officeDocument/2006/relationships/hyperlink" Target="https://maps.app.goo.gl/kgJbu1HMjsUxtg7P7" TargetMode="External"/><Relationship Id="rId48" Type="http://schemas.openxmlformats.org/officeDocument/2006/relationships/hyperlink" Target="https://maps.app.goo.gl/pz4jP4cRzqhcm3mP6" TargetMode="External"/><Relationship Id="rId56" Type="http://schemas.openxmlformats.org/officeDocument/2006/relationships/hyperlink" Target="https://maps.app.goo.gl/TYsDXWU4kqkeGb8D6" TargetMode="External"/><Relationship Id="rId64" Type="http://schemas.openxmlformats.org/officeDocument/2006/relationships/hyperlink" Target="https://maps.app.goo.gl/z97gB1Y9xEQEsjNf6" TargetMode="External"/><Relationship Id="rId69" Type="http://schemas.openxmlformats.org/officeDocument/2006/relationships/hyperlink" Target="https://maps.app.goo.gl/3soe1M5yfNku9zP88" TargetMode="External"/><Relationship Id="rId8" Type="http://schemas.openxmlformats.org/officeDocument/2006/relationships/hyperlink" Target="https://maps.app.goo.gl/rYQLkSMERduCoffL8" TargetMode="External"/><Relationship Id="rId51" Type="http://schemas.openxmlformats.org/officeDocument/2006/relationships/hyperlink" Target="https://maps.app.goo.gl/a7As7SRaDnZSRB6c6" TargetMode="External"/><Relationship Id="rId72" Type="http://schemas.openxmlformats.org/officeDocument/2006/relationships/hyperlink" Target="https://maps.app.goo.gl/1TQNr4KwZ3aiboXJ6" TargetMode="External"/><Relationship Id="rId3" Type="http://schemas.openxmlformats.org/officeDocument/2006/relationships/hyperlink" Target="https://maps.app.goo.gl/Yk2FrxveQ1BNpLmN8" TargetMode="External"/><Relationship Id="rId12" Type="http://schemas.openxmlformats.org/officeDocument/2006/relationships/hyperlink" Target="https://maps.app.goo.gl/kFwUPivsMpYS8pGd8" TargetMode="External"/><Relationship Id="rId17" Type="http://schemas.openxmlformats.org/officeDocument/2006/relationships/hyperlink" Target="https://maps.app.goo.gl/tLcmyZnTmDtxQsvb6" TargetMode="External"/><Relationship Id="rId25" Type="http://schemas.openxmlformats.org/officeDocument/2006/relationships/hyperlink" Target="https://maps.app.goo.gl/TYsDXWU4kqkeGb8D6" TargetMode="External"/><Relationship Id="rId33" Type="http://schemas.openxmlformats.org/officeDocument/2006/relationships/hyperlink" Target="https://maps.app.goo.gl/nPrR72QZAjPCStGf7" TargetMode="External"/><Relationship Id="rId38" Type="http://schemas.openxmlformats.org/officeDocument/2006/relationships/hyperlink" Target="https://maps.app.goo.gl/tbQZRQV4a7fp35NM6" TargetMode="External"/><Relationship Id="rId46" Type="http://schemas.openxmlformats.org/officeDocument/2006/relationships/hyperlink" Target="https://maps.app.goo.gl/1TQNr4KwZ3aiboXJ6" TargetMode="External"/><Relationship Id="rId59" Type="http://schemas.openxmlformats.org/officeDocument/2006/relationships/hyperlink" Target="https://maps.app.goo.gl/HAQzMitpSPVxhKFi9" TargetMode="External"/><Relationship Id="rId67" Type="http://schemas.openxmlformats.org/officeDocument/2006/relationships/hyperlink" Target="https://maps.app.goo.gl/3soe1M5yfNku9zP88" TargetMode="External"/><Relationship Id="rId20" Type="http://schemas.openxmlformats.org/officeDocument/2006/relationships/hyperlink" Target="https://maps.app.goo.gl/CR8ypB1Pd9ZCuWzE6" TargetMode="External"/><Relationship Id="rId41" Type="http://schemas.openxmlformats.org/officeDocument/2006/relationships/hyperlink" Target="https://maps.app.goo.gl/kgJbu1HMjsUxtg7P7" TargetMode="External"/><Relationship Id="rId54" Type="http://schemas.openxmlformats.org/officeDocument/2006/relationships/hyperlink" Target="https://maps.app.goo.gl/TYsDXWU4kqkeGb8D6" TargetMode="External"/><Relationship Id="rId62" Type="http://schemas.openxmlformats.org/officeDocument/2006/relationships/hyperlink" Target="https://maps.app.goo.gl/tbQZRQV4a7fp35NM6" TargetMode="External"/><Relationship Id="rId70" Type="http://schemas.openxmlformats.org/officeDocument/2006/relationships/hyperlink" Target="https://maps.app.goo.gl/3soe1M5yfNku9zP88" TargetMode="External"/><Relationship Id="rId75" Type="http://schemas.openxmlformats.org/officeDocument/2006/relationships/hyperlink" Target="https://maps.app.goo.gl/1TQNr4KwZ3aiboXJ6" TargetMode="External"/><Relationship Id="rId1" Type="http://schemas.openxmlformats.org/officeDocument/2006/relationships/hyperlink" Target="https://maps.app.goo.gl/xyQpe8BG44WqsG1v9" TargetMode="External"/><Relationship Id="rId6" Type="http://schemas.openxmlformats.org/officeDocument/2006/relationships/hyperlink" Target="https://maps.app.goo.gl/B5W3gFAkVjKrxcms8" TargetMode="External"/><Relationship Id="rId15" Type="http://schemas.openxmlformats.org/officeDocument/2006/relationships/hyperlink" Target="https://maps.app.goo.gl/EGGjvMh2LpNr1STk7" TargetMode="External"/><Relationship Id="rId23" Type="http://schemas.openxmlformats.org/officeDocument/2006/relationships/hyperlink" Target="https://maps.app.goo.gl/6skd9a23gozJLC8q6?g_st=aw" TargetMode="External"/><Relationship Id="rId28" Type="http://schemas.openxmlformats.org/officeDocument/2006/relationships/hyperlink" Target="https://maps.app.goo.gl/w2FYcAi8ZYYfJ88Y8" TargetMode="External"/><Relationship Id="rId36" Type="http://schemas.openxmlformats.org/officeDocument/2006/relationships/hyperlink" Target="https://maps.app.goo.gl/rhzoBgFndL48HhK79" TargetMode="External"/><Relationship Id="rId49" Type="http://schemas.openxmlformats.org/officeDocument/2006/relationships/hyperlink" Target="https://maps.app.goo.gl/pz4jP4cRzqhcm3mP6" TargetMode="External"/><Relationship Id="rId57" Type="http://schemas.openxmlformats.org/officeDocument/2006/relationships/hyperlink" Target="https://maps.app.goo.gl/TYsDXWU4kqkeGb8D6" TargetMode="External"/><Relationship Id="rId10" Type="http://schemas.openxmlformats.org/officeDocument/2006/relationships/hyperlink" Target="https://maps.app.goo.gl/3mYP9KzrASogJS3w9" TargetMode="External"/><Relationship Id="rId31" Type="http://schemas.openxmlformats.org/officeDocument/2006/relationships/hyperlink" Target="https://maps.app.goo.gl/Pdqbe6rfdzAyjWvL8" TargetMode="External"/><Relationship Id="rId44" Type="http://schemas.openxmlformats.org/officeDocument/2006/relationships/hyperlink" Target="https://maps.app.goo.gl/1TQNr4KwZ3aiboXJ6" TargetMode="External"/><Relationship Id="rId52" Type="http://schemas.openxmlformats.org/officeDocument/2006/relationships/hyperlink" Target="https://maps.app.goo.gl/HAQzMitpSPVxhKFi9" TargetMode="External"/><Relationship Id="rId60" Type="http://schemas.openxmlformats.org/officeDocument/2006/relationships/hyperlink" Target="https://maps.app.goo.gl/tbQZRQV4a7fp35NM6" TargetMode="External"/><Relationship Id="rId65" Type="http://schemas.openxmlformats.org/officeDocument/2006/relationships/hyperlink" Target="https://maps.app.goo.gl/cy4n8tkKBBwiz9GHA" TargetMode="External"/><Relationship Id="rId73" Type="http://schemas.openxmlformats.org/officeDocument/2006/relationships/hyperlink" Target="https://maps.app.goo.gl/1TQNr4KwZ3aiboXJ6" TargetMode="External"/><Relationship Id="rId4" Type="http://schemas.openxmlformats.org/officeDocument/2006/relationships/hyperlink" Target="https://maps.app.goo.gl/fhc785TjS54Vtjgc8" TargetMode="External"/><Relationship Id="rId9" Type="http://schemas.openxmlformats.org/officeDocument/2006/relationships/hyperlink" Target="https://maps.app.goo.gl/MLVchYQrLvQGhWWp6" TargetMode="External"/><Relationship Id="rId13" Type="http://schemas.openxmlformats.org/officeDocument/2006/relationships/hyperlink" Target="https://maps.app.goo.gl/oLpnxFw9huVdueSf7" TargetMode="External"/><Relationship Id="rId18" Type="http://schemas.openxmlformats.org/officeDocument/2006/relationships/hyperlink" Target="https://maps.app.goo.gl/w2FYcAi8ZYYfJ88Y8" TargetMode="External"/><Relationship Id="rId39" Type="http://schemas.openxmlformats.org/officeDocument/2006/relationships/hyperlink" Target="https://maps.app.goo.gl/tbQZRQV4a7fp35NM6" TargetMode="External"/><Relationship Id="rId34" Type="http://schemas.openxmlformats.org/officeDocument/2006/relationships/hyperlink" Target="https://maps.app.goo.gl/nPrR72QZAjPCStGf7" TargetMode="External"/><Relationship Id="rId50" Type="http://schemas.openxmlformats.org/officeDocument/2006/relationships/hyperlink" Target="https://maps.app.goo.gl/a7As7SRaDnZSRB6c6" TargetMode="External"/><Relationship Id="rId55" Type="http://schemas.openxmlformats.org/officeDocument/2006/relationships/hyperlink" Target="https://maps.app.goo.gl/TYsDXWU4kqkeGb8D6" TargetMode="External"/><Relationship Id="rId76" Type="http://schemas.openxmlformats.org/officeDocument/2006/relationships/table" Target="../tables/table5.xml"/><Relationship Id="rId7" Type="http://schemas.openxmlformats.org/officeDocument/2006/relationships/hyperlink" Target="https://maps.app.goo.gl/MTXwpjxVEM4SBPA46" TargetMode="External"/><Relationship Id="rId71" Type="http://schemas.openxmlformats.org/officeDocument/2006/relationships/hyperlink" Target="https://maps.app.goo.gl/3soe1M5yfNku9zP8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1TQNr4KwZ3aiboXJ6" TargetMode="External"/><Relationship Id="rId13" Type="http://schemas.openxmlformats.org/officeDocument/2006/relationships/hyperlink" Target="https://maps.app.goo.gl/tDVsbATD6VV1pHxw7" TargetMode="External"/><Relationship Id="rId3" Type="http://schemas.openxmlformats.org/officeDocument/2006/relationships/hyperlink" Target="https://maps.app.goo.gl/rhzoBgFndL48HhK79" TargetMode="External"/><Relationship Id="rId7" Type="http://schemas.openxmlformats.org/officeDocument/2006/relationships/hyperlink" Target="https://maps.app.goo.gl/kgJbu1HMjsUxtg7P7" TargetMode="External"/><Relationship Id="rId12" Type="http://schemas.openxmlformats.org/officeDocument/2006/relationships/hyperlink" Target="https://maps.app.goo.gl/rhzoBgFndL48HhK79" TargetMode="External"/><Relationship Id="rId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TYsDXWU4kqkeGb8D6" TargetMode="External"/><Relationship Id="rId6" Type="http://schemas.openxmlformats.org/officeDocument/2006/relationships/hyperlink" Target="https://maps.app.goo.gl/TYsDXWU4kqkeGb8D6" TargetMode="External"/><Relationship Id="rId11" Type="http://schemas.openxmlformats.org/officeDocument/2006/relationships/hyperlink" Target="https://maps.app.goo.gl/HAQzMitpSPVxhKFi9" TargetMode="External"/><Relationship Id="rId5" Type="http://schemas.openxmlformats.org/officeDocument/2006/relationships/hyperlink" Target="https://maps.app.goo.gl/MUyXxsKoDWLqwoe56" TargetMode="External"/><Relationship Id="rId10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tbQZRQV4a7fp35NM6" TargetMode="External"/><Relationship Id="rId9" Type="http://schemas.openxmlformats.org/officeDocument/2006/relationships/hyperlink" Target="https://maps.app.goo.gl/Pdqbe6rfdzAyjWvL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7A0F2-10FD-4566-91EA-EB09624D5057}">
  <sheetPr>
    <tabColor rgb="FF0070C0"/>
  </sheetPr>
  <dimension ref="A1:AL86"/>
  <sheetViews>
    <sheetView showGridLines="0" tabSelected="1" topLeftCell="B1" zoomScaleNormal="100" workbookViewId="0">
      <selection activeCell="P16" sqref="P16"/>
    </sheetView>
  </sheetViews>
  <sheetFormatPr defaultColWidth="8.85546875" defaultRowHeight="12" customHeight="1"/>
  <cols>
    <col min="1" max="1" width="3.5703125" style="2" bestFit="1" customWidth="1"/>
    <col min="2" max="2" width="10.28515625" style="2" bestFit="1" customWidth="1"/>
    <col min="3" max="3" width="11.85546875" style="2" bestFit="1" customWidth="1"/>
    <col min="4" max="4" width="10.140625" style="2" bestFit="1" customWidth="1"/>
    <col min="5" max="5" width="9.85546875" style="2" bestFit="1" customWidth="1"/>
    <col min="6" max="6" width="11.28515625" style="2" bestFit="1" customWidth="1"/>
    <col min="7" max="8" width="8.7109375" style="2" bestFit="1" customWidth="1"/>
    <col min="9" max="9" width="12.28515625" style="2" bestFit="1" customWidth="1"/>
    <col min="10" max="10" width="9.85546875" style="2" bestFit="1" customWidth="1"/>
    <col min="11" max="11" width="10.42578125" style="2" bestFit="1" customWidth="1"/>
    <col min="12" max="12" width="7.140625" style="2" bestFit="1" customWidth="1"/>
    <col min="13" max="13" width="14.85546875" style="2" bestFit="1" customWidth="1"/>
    <col min="14" max="14" width="9.42578125" style="2" bestFit="1" customWidth="1"/>
    <col min="15" max="15" width="6.7109375" style="2" bestFit="1" customWidth="1"/>
    <col min="16" max="16" width="8.5703125" style="2" bestFit="1" customWidth="1"/>
    <col min="17" max="17" width="8.7109375" style="2" bestFit="1" customWidth="1"/>
    <col min="18" max="18" width="10.28515625" style="2" bestFit="1" customWidth="1"/>
    <col min="19" max="19" width="12.28515625" style="2" bestFit="1" customWidth="1"/>
    <col min="20" max="20" width="16.140625" style="2" bestFit="1" customWidth="1"/>
    <col min="21" max="21" width="11.7109375" style="2" bestFit="1" customWidth="1"/>
    <col min="22" max="22" width="17.42578125" style="2" bestFit="1" customWidth="1"/>
    <col min="23" max="23" width="12.28515625" style="2" bestFit="1" customWidth="1"/>
    <col min="24" max="24" width="18.85546875" style="2" bestFit="1" customWidth="1"/>
    <col min="25" max="25" width="11.7109375" style="2" bestFit="1" customWidth="1"/>
    <col min="26" max="26" width="12" style="2" bestFit="1" customWidth="1"/>
    <col min="27" max="27" width="8.7109375" style="2" bestFit="1" customWidth="1"/>
    <col min="28" max="28" width="14.5703125" style="2" bestFit="1" customWidth="1"/>
    <col min="29" max="29" width="8.7109375" style="2" bestFit="1" customWidth="1"/>
    <col min="30" max="30" width="11.85546875" style="2" bestFit="1" customWidth="1"/>
    <col min="31" max="31" width="9.42578125" style="2" bestFit="1" customWidth="1"/>
    <col min="32" max="32" width="3.85546875" style="2" bestFit="1" customWidth="1"/>
    <col min="33" max="33" width="4.28515625" style="2" bestFit="1" customWidth="1"/>
    <col min="34" max="34" width="10.5703125" style="2" bestFit="1" customWidth="1"/>
    <col min="35" max="35" width="7.85546875" style="2" bestFit="1" customWidth="1"/>
    <col min="36" max="36" width="7.5703125" style="2" bestFit="1" customWidth="1"/>
    <col min="37" max="37" width="9.85546875" style="2" bestFit="1" customWidth="1"/>
    <col min="38" max="38" width="13.28515625" style="2" bestFit="1" customWidth="1"/>
    <col min="39" max="16384" width="8.85546875" style="2"/>
  </cols>
  <sheetData>
    <row r="1" spans="1:38" s="158" customFormat="1" ht="12" customHeight="1">
      <c r="B1" s="173" t="s">
        <v>0</v>
      </c>
      <c r="C1" s="173"/>
      <c r="D1" s="173"/>
      <c r="E1" s="173"/>
      <c r="F1" s="173"/>
      <c r="G1" s="173"/>
      <c r="H1" s="173"/>
      <c r="P1" s="185" t="s">
        <v>1</v>
      </c>
      <c r="Q1" s="185" t="s">
        <v>2</v>
      </c>
      <c r="R1" s="185" t="s">
        <v>1</v>
      </c>
      <c r="S1" s="185" t="s">
        <v>2</v>
      </c>
      <c r="T1" s="185" t="s">
        <v>1</v>
      </c>
      <c r="U1" s="185" t="s">
        <v>2</v>
      </c>
      <c r="V1" s="185" t="s">
        <v>1</v>
      </c>
      <c r="W1" s="185" t="s">
        <v>2</v>
      </c>
      <c r="X1" s="185" t="s">
        <v>1</v>
      </c>
      <c r="Y1" s="185" t="s">
        <v>2</v>
      </c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</row>
    <row r="2" spans="1:38" ht="12" customHeight="1">
      <c r="I2" s="185" t="s">
        <v>3</v>
      </c>
      <c r="J2" s="185" t="s">
        <v>2</v>
      </c>
      <c r="M2" s="185" t="s">
        <v>3</v>
      </c>
      <c r="N2" s="185" t="s">
        <v>2</v>
      </c>
      <c r="P2" s="185" t="s">
        <v>4</v>
      </c>
      <c r="Q2" s="185" t="s">
        <v>5</v>
      </c>
      <c r="R2" s="185" t="s">
        <v>4</v>
      </c>
      <c r="S2" s="185" t="s">
        <v>6</v>
      </c>
      <c r="T2" s="185" t="s">
        <v>4</v>
      </c>
      <c r="U2" s="185" t="s">
        <v>7</v>
      </c>
      <c r="V2" s="185" t="s">
        <v>4</v>
      </c>
      <c r="W2" s="185" t="s">
        <v>6</v>
      </c>
      <c r="X2" s="185" t="s">
        <v>4</v>
      </c>
      <c r="Y2" s="185" t="s">
        <v>7</v>
      </c>
      <c r="Z2" s="185" t="s">
        <v>1</v>
      </c>
      <c r="AA2" s="185" t="s">
        <v>2</v>
      </c>
      <c r="AB2" s="185" t="s">
        <v>1</v>
      </c>
      <c r="AC2" s="185" t="s">
        <v>2</v>
      </c>
      <c r="AD2" s="185" t="s">
        <v>3</v>
      </c>
      <c r="AE2" s="185" t="s">
        <v>2</v>
      </c>
    </row>
    <row r="3" spans="1:38" ht="12" customHeight="1">
      <c r="H3" s="159" t="s">
        <v>8</v>
      </c>
      <c r="L3" s="159" t="s">
        <v>9</v>
      </c>
      <c r="O3" s="159" t="s">
        <v>10</v>
      </c>
      <c r="Q3" s="159" t="s">
        <v>11</v>
      </c>
      <c r="S3" s="159" t="s">
        <v>12</v>
      </c>
      <c r="U3" s="159" t="s">
        <v>13</v>
      </c>
      <c r="W3" s="159" t="s">
        <v>14</v>
      </c>
      <c r="Y3" s="159" t="s">
        <v>15</v>
      </c>
      <c r="AA3" s="159" t="s">
        <v>16</v>
      </c>
      <c r="AC3" s="159" t="s">
        <v>17</v>
      </c>
      <c r="AF3" s="159" t="s">
        <v>18</v>
      </c>
      <c r="AL3" s="159">
        <v>612</v>
      </c>
    </row>
    <row r="4" spans="1:38" ht="12" customHeight="1">
      <c r="A4" s="2" t="s">
        <v>19</v>
      </c>
      <c r="B4" s="157" t="s">
        <v>20</v>
      </c>
      <c r="C4" s="157" t="s">
        <v>21</v>
      </c>
      <c r="D4" s="157" t="s">
        <v>22</v>
      </c>
      <c r="E4" s="157" t="s">
        <v>23</v>
      </c>
      <c r="F4" s="157" t="s">
        <v>24</v>
      </c>
      <c r="G4" s="157" t="s">
        <v>25</v>
      </c>
      <c r="H4" s="157" t="s">
        <v>26</v>
      </c>
      <c r="I4" s="156" t="s">
        <v>27</v>
      </c>
      <c r="J4" s="156" t="s">
        <v>28</v>
      </c>
      <c r="K4" s="156" t="s">
        <v>29</v>
      </c>
      <c r="L4" s="156" t="s">
        <v>30</v>
      </c>
      <c r="M4" s="156" t="s">
        <v>31</v>
      </c>
      <c r="N4" s="156" t="s">
        <v>32</v>
      </c>
      <c r="O4" s="156" t="s">
        <v>33</v>
      </c>
      <c r="P4" s="156" t="s">
        <v>34</v>
      </c>
      <c r="Q4" s="163" t="s">
        <v>35</v>
      </c>
      <c r="R4" s="156" t="s">
        <v>36</v>
      </c>
      <c r="S4" s="163" t="s">
        <v>35</v>
      </c>
      <c r="T4" s="156" t="s">
        <v>37</v>
      </c>
      <c r="U4" s="163" t="s">
        <v>35</v>
      </c>
      <c r="V4" s="156" t="s">
        <v>36</v>
      </c>
      <c r="W4" s="163" t="s">
        <v>35</v>
      </c>
      <c r="X4" s="156" t="s">
        <v>37</v>
      </c>
      <c r="Y4" s="163" t="s">
        <v>35</v>
      </c>
      <c r="Z4" s="156" t="s">
        <v>36</v>
      </c>
      <c r="AA4" s="163" t="s">
        <v>35</v>
      </c>
      <c r="AB4" s="156" t="s">
        <v>36</v>
      </c>
      <c r="AC4" s="163" t="s">
        <v>35</v>
      </c>
      <c r="AD4" s="156" t="s">
        <v>38</v>
      </c>
      <c r="AE4" s="156" t="s">
        <v>39</v>
      </c>
      <c r="AF4" s="189" t="s">
        <v>40</v>
      </c>
      <c r="AG4" s="189" t="s">
        <v>41</v>
      </c>
      <c r="AH4" s="157" t="s">
        <v>42</v>
      </c>
      <c r="AI4" s="157" t="s">
        <v>43</v>
      </c>
      <c r="AJ4" s="157" t="s">
        <v>44</v>
      </c>
      <c r="AK4" s="164" t="s">
        <v>45</v>
      </c>
      <c r="AL4" s="157" t="s">
        <v>46</v>
      </c>
    </row>
    <row r="5" spans="1:38" ht="12" customHeight="1">
      <c r="B5" s="165" t="s">
        <v>47</v>
      </c>
      <c r="C5" s="166">
        <v>2200</v>
      </c>
      <c r="D5" s="166">
        <v>1850</v>
      </c>
      <c r="E5" s="166">
        <v>800</v>
      </c>
      <c r="F5" s="166">
        <v>2000</v>
      </c>
      <c r="G5" s="166">
        <v>1500</v>
      </c>
      <c r="H5" s="166"/>
      <c r="I5" s="185" t="s">
        <v>25</v>
      </c>
      <c r="J5" s="186">
        <v>34428</v>
      </c>
      <c r="K5" s="186">
        <v>22038.3</v>
      </c>
      <c r="L5" s="187">
        <v>66</v>
      </c>
      <c r="M5" s="185" t="s">
        <v>48</v>
      </c>
      <c r="N5" s="186">
        <v>16373.3</v>
      </c>
      <c r="O5" s="187">
        <v>2389</v>
      </c>
      <c r="P5" s="185" t="s">
        <v>49</v>
      </c>
      <c r="Q5" s="186">
        <v>3395</v>
      </c>
      <c r="R5" s="185" t="s">
        <v>50</v>
      </c>
      <c r="S5" s="186">
        <v>8445</v>
      </c>
      <c r="T5" s="185" t="s">
        <v>50</v>
      </c>
      <c r="U5" s="186">
        <v>8132.619999999999</v>
      </c>
      <c r="V5" s="185" t="s">
        <v>51</v>
      </c>
      <c r="W5" s="186">
        <v>11420</v>
      </c>
      <c r="X5" s="185" t="s">
        <v>52</v>
      </c>
      <c r="Y5" s="186">
        <v>6190.03</v>
      </c>
      <c r="Z5" s="185" t="s">
        <v>53</v>
      </c>
      <c r="AA5" s="186">
        <v>4175</v>
      </c>
      <c r="AB5" s="185" t="s">
        <v>54</v>
      </c>
      <c r="AC5" s="186">
        <v>800.04</v>
      </c>
      <c r="AD5" s="185" t="s">
        <v>55</v>
      </c>
      <c r="AE5" s="186">
        <v>15528</v>
      </c>
      <c r="AF5" s="188">
        <v>17</v>
      </c>
      <c r="AG5" s="188">
        <v>2588</v>
      </c>
      <c r="AH5" s="160">
        <v>6520</v>
      </c>
      <c r="AI5" s="160">
        <f>AE5/AG5</f>
        <v>6</v>
      </c>
      <c r="AJ5" s="161">
        <f>IFERROR((AG5*1.5)/1440, "?")</f>
        <v>2.6958333333333333</v>
      </c>
      <c r="AK5" s="2" t="s">
        <v>55</v>
      </c>
      <c r="AL5" s="162">
        <f>IFERROR((AJ5*24)/(AF5*8),0)</f>
        <v>0.47573529411764709</v>
      </c>
    </row>
    <row r="6" spans="1:38" ht="12" customHeight="1">
      <c r="B6" s="165" t="s">
        <v>56</v>
      </c>
      <c r="C6" s="166">
        <f>IFERROR((C11*C13 + C12*C14) / (C13 + C14), "")</f>
        <v>1213.9375</v>
      </c>
      <c r="D6" s="166">
        <f>IFERROR((D11*D13 + D12*D14) / (D13 + D14), "")</f>
        <v>1561</v>
      </c>
      <c r="E6" s="166">
        <f>IFERROR((E11*E13 + E12*E14) / (E13 + E14), "")</f>
        <v>503.84615384615387</v>
      </c>
      <c r="F6" s="166">
        <f>IFERROR((F11*F13 + F12*F14) / (F13 + F14), "")</f>
        <v>3904</v>
      </c>
      <c r="G6" s="166">
        <f>IFERROR((G11*G13 + G12*G14) / (G13 + G14), "")</f>
        <v>1045.6722222222222</v>
      </c>
      <c r="H6" s="166" t="str">
        <f>IFERROR((H11*H13 + H12*H14) / (H13 + H14), "")</f>
        <v/>
      </c>
      <c r="I6" s="185" t="s">
        <v>24</v>
      </c>
      <c r="J6" s="186">
        <v>2112</v>
      </c>
      <c r="K6" s="186">
        <v>9600</v>
      </c>
      <c r="L6" s="187">
        <v>3</v>
      </c>
      <c r="M6" s="185" t="s">
        <v>57</v>
      </c>
      <c r="N6" s="186">
        <v>9600</v>
      </c>
      <c r="O6" s="187">
        <v>733</v>
      </c>
      <c r="P6" s="185" t="s">
        <v>58</v>
      </c>
      <c r="Q6" s="186">
        <v>1262</v>
      </c>
      <c r="R6" s="185" t="s">
        <v>59</v>
      </c>
      <c r="S6" s="186">
        <v>4770</v>
      </c>
      <c r="T6" s="185" t="s">
        <v>60</v>
      </c>
      <c r="U6" s="186">
        <v>1323.8</v>
      </c>
      <c r="V6" s="185" t="s">
        <v>61</v>
      </c>
      <c r="W6" s="186">
        <v>2390</v>
      </c>
      <c r="X6" s="185" t="s">
        <v>62</v>
      </c>
      <c r="Y6" s="186">
        <v>5580</v>
      </c>
      <c r="Z6" s="185" t="s">
        <v>63</v>
      </c>
      <c r="AA6" s="186">
        <v>250.79000000000002</v>
      </c>
      <c r="AB6" s="185" t="s">
        <v>64</v>
      </c>
      <c r="AC6" s="186">
        <v>133.13</v>
      </c>
      <c r="AD6" s="185" t="s">
        <v>65</v>
      </c>
      <c r="AE6" s="186">
        <v>13966</v>
      </c>
      <c r="AF6" s="188">
        <v>12</v>
      </c>
      <c r="AG6" s="188">
        <v>2961</v>
      </c>
      <c r="AH6" s="160">
        <v>8720</v>
      </c>
      <c r="AI6" s="160">
        <f>AE6/AG6</f>
        <v>4.7166497804795675</v>
      </c>
      <c r="AJ6" s="161">
        <f>IFERROR((AG6*1.5)/1440, "?")</f>
        <v>3.0843750000000001</v>
      </c>
      <c r="AK6" s="2" t="s">
        <v>65</v>
      </c>
      <c r="AL6" s="162">
        <f>IFERROR((AJ6*24)/(AF6*8),0)</f>
        <v>0.77109375000000002</v>
      </c>
    </row>
    <row r="7" spans="1:38" ht="12" customHeight="1">
      <c r="B7" s="185" t="s">
        <v>3</v>
      </c>
      <c r="C7" s="185" t="s">
        <v>2</v>
      </c>
      <c r="D7" s="159"/>
      <c r="I7" s="185" t="s">
        <v>21</v>
      </c>
      <c r="J7" s="186">
        <v>11100</v>
      </c>
      <c r="K7" s="186">
        <v>8323</v>
      </c>
      <c r="L7" s="187">
        <v>16</v>
      </c>
      <c r="M7" s="185" t="s">
        <v>66</v>
      </c>
      <c r="N7" s="186">
        <v>6600</v>
      </c>
      <c r="O7" s="187">
        <v>1330</v>
      </c>
      <c r="P7" s="185" t="s">
        <v>50</v>
      </c>
      <c r="Q7" s="186">
        <v>440</v>
      </c>
      <c r="R7" s="185" t="s">
        <v>60</v>
      </c>
      <c r="S7" s="186">
        <v>1800</v>
      </c>
      <c r="T7" s="185" t="s">
        <v>49</v>
      </c>
      <c r="U7" s="186">
        <v>1100</v>
      </c>
      <c r="V7" s="185" t="s">
        <v>67</v>
      </c>
      <c r="W7" s="186">
        <v>1970</v>
      </c>
      <c r="X7" s="185" t="s">
        <v>68</v>
      </c>
      <c r="Y7" s="186">
        <v>1342.5900000000001</v>
      </c>
      <c r="Z7" s="185" t="s">
        <v>69</v>
      </c>
      <c r="AA7" s="186">
        <v>160</v>
      </c>
      <c r="AB7" s="185" t="s">
        <v>70</v>
      </c>
      <c r="AC7" s="186">
        <v>87.62</v>
      </c>
    </row>
    <row r="8" spans="1:38" ht="12" customHeight="1">
      <c r="I8" s="185" t="s">
        <v>23</v>
      </c>
      <c r="J8" s="186">
        <v>3200</v>
      </c>
      <c r="K8" s="186">
        <v>3350</v>
      </c>
      <c r="L8" s="187">
        <v>13</v>
      </c>
      <c r="M8" s="185" t="s">
        <v>71</v>
      </c>
      <c r="N8" s="186">
        <v>5400</v>
      </c>
      <c r="O8" s="187">
        <v>956</v>
      </c>
      <c r="P8" s="185" t="s">
        <v>60</v>
      </c>
      <c r="Q8" s="186">
        <v>270</v>
      </c>
      <c r="R8" s="185" t="s">
        <v>72</v>
      </c>
      <c r="S8" s="186">
        <v>1760</v>
      </c>
      <c r="T8" s="185" t="s">
        <v>73</v>
      </c>
      <c r="U8" s="186">
        <v>862</v>
      </c>
      <c r="V8" s="185" t="s">
        <v>74</v>
      </c>
      <c r="W8" s="186">
        <v>1860</v>
      </c>
      <c r="X8" s="185" t="s">
        <v>75</v>
      </c>
      <c r="Y8" s="186">
        <v>847.8</v>
      </c>
      <c r="AB8" s="185" t="s">
        <v>76</v>
      </c>
      <c r="AC8" s="186">
        <v>4853</v>
      </c>
    </row>
    <row r="9" spans="1:38" ht="12" customHeight="1">
      <c r="B9" s="156"/>
      <c r="C9" s="156" t="s">
        <v>26</v>
      </c>
      <c r="D9" s="156"/>
      <c r="E9" s="156"/>
      <c r="F9" s="156"/>
      <c r="G9" s="156"/>
      <c r="H9" s="1"/>
      <c r="I9" s="185" t="s">
        <v>22</v>
      </c>
      <c r="J9" s="186">
        <v>1122</v>
      </c>
      <c r="K9" s="186">
        <v>2000</v>
      </c>
      <c r="L9" s="187">
        <v>2</v>
      </c>
      <c r="M9" s="185" t="s">
        <v>77</v>
      </c>
      <c r="N9" s="186">
        <v>2830</v>
      </c>
      <c r="O9" s="187">
        <v>748</v>
      </c>
      <c r="P9" s="1"/>
      <c r="Q9" s="1"/>
      <c r="R9" s="185" t="s">
        <v>73</v>
      </c>
      <c r="S9" s="186">
        <v>1095</v>
      </c>
      <c r="T9" s="185" t="s">
        <v>58</v>
      </c>
      <c r="U9" s="186">
        <v>862</v>
      </c>
      <c r="V9" s="185" t="s">
        <v>78</v>
      </c>
      <c r="W9" s="186">
        <v>700</v>
      </c>
      <c r="X9" s="1"/>
      <c r="Y9" s="1"/>
      <c r="AB9" s="1"/>
      <c r="AC9" s="1"/>
    </row>
    <row r="10" spans="1:38" ht="12" customHeight="1">
      <c r="B10" s="185" t="s">
        <v>79</v>
      </c>
      <c r="C10" s="185" t="s">
        <v>21</v>
      </c>
      <c r="D10" s="185" t="s">
        <v>22</v>
      </c>
      <c r="E10" s="185" t="s">
        <v>23</v>
      </c>
      <c r="F10" s="185" t="s">
        <v>24</v>
      </c>
      <c r="G10" s="185" t="s">
        <v>25</v>
      </c>
      <c r="H10" s="1"/>
      <c r="I10" s="1"/>
      <c r="J10" s="1"/>
      <c r="K10" s="1"/>
      <c r="L10" s="1"/>
      <c r="M10" s="185" t="s">
        <v>80</v>
      </c>
      <c r="N10" s="186">
        <v>2270</v>
      </c>
      <c r="O10" s="187">
        <v>480</v>
      </c>
      <c r="R10" s="185" t="s">
        <v>49</v>
      </c>
      <c r="S10" s="186">
        <v>990</v>
      </c>
      <c r="T10" s="185" t="s">
        <v>59</v>
      </c>
      <c r="U10" s="186">
        <v>850</v>
      </c>
      <c r="V10" s="185" t="s">
        <v>81</v>
      </c>
      <c r="W10" s="186">
        <v>550</v>
      </c>
    </row>
    <row r="11" spans="1:38" ht="12" customHeight="1">
      <c r="B11" s="185" t="s">
        <v>82</v>
      </c>
      <c r="C11" s="186">
        <v>1110</v>
      </c>
      <c r="D11" s="186">
        <v>1122</v>
      </c>
      <c r="E11" s="186">
        <v>400</v>
      </c>
      <c r="F11" s="186">
        <v>1056</v>
      </c>
      <c r="G11" s="186">
        <v>983.65714285714284</v>
      </c>
      <c r="H11" s="1"/>
      <c r="M11" s="185" t="s">
        <v>83</v>
      </c>
      <c r="N11" s="186">
        <v>1328</v>
      </c>
      <c r="O11" s="187">
        <v>166</v>
      </c>
      <c r="R11" s="185" t="s">
        <v>58</v>
      </c>
      <c r="S11" s="186">
        <v>180</v>
      </c>
      <c r="T11" s="185" t="s">
        <v>72</v>
      </c>
      <c r="U11" s="186">
        <v>830</v>
      </c>
      <c r="V11" s="185" t="s">
        <v>84</v>
      </c>
      <c r="W11" s="186">
        <v>150</v>
      </c>
    </row>
    <row r="12" spans="1:38" ht="12" customHeight="1">
      <c r="B12" s="185" t="s">
        <v>85</v>
      </c>
      <c r="C12" s="186">
        <v>1387.1666666666667</v>
      </c>
      <c r="D12" s="186">
        <v>2000</v>
      </c>
      <c r="E12" s="186">
        <v>670</v>
      </c>
      <c r="F12" s="186">
        <v>9600</v>
      </c>
      <c r="G12" s="186">
        <v>1159.9105263157894</v>
      </c>
      <c r="H12" s="1"/>
      <c r="M12" s="185" t="s">
        <v>86</v>
      </c>
      <c r="N12" s="186">
        <v>910</v>
      </c>
      <c r="O12" s="187">
        <v>70</v>
      </c>
      <c r="R12" s="1"/>
      <c r="S12" s="1"/>
      <c r="T12" s="1"/>
      <c r="U12" s="1"/>
      <c r="V12" s="1"/>
      <c r="W12" s="1"/>
    </row>
    <row r="13" spans="1:38" ht="12" customHeight="1">
      <c r="B13" s="185" t="s">
        <v>87</v>
      </c>
      <c r="C13" s="187">
        <v>10</v>
      </c>
      <c r="D13" s="187">
        <v>1</v>
      </c>
      <c r="E13" s="187">
        <v>8</v>
      </c>
      <c r="F13" s="187">
        <v>2</v>
      </c>
      <c r="G13" s="187">
        <v>35</v>
      </c>
      <c r="H13" s="1"/>
      <c r="V13" s="1"/>
      <c r="W13" s="1"/>
    </row>
    <row r="14" spans="1:38" ht="12" customHeight="1">
      <c r="B14" s="185" t="s">
        <v>88</v>
      </c>
      <c r="C14" s="187">
        <v>6</v>
      </c>
      <c r="D14" s="187">
        <v>1</v>
      </c>
      <c r="E14" s="187">
        <v>5</v>
      </c>
      <c r="F14" s="187">
        <v>1</v>
      </c>
      <c r="G14" s="187">
        <v>19</v>
      </c>
      <c r="H14" s="1"/>
    </row>
    <row r="21" spans="1:38" ht="12" customHeight="1">
      <c r="A21" s="167"/>
      <c r="B21" s="173" t="s">
        <v>89</v>
      </c>
      <c r="C21" s="173"/>
      <c r="D21" s="173"/>
      <c r="E21" s="173"/>
      <c r="F21" s="173"/>
      <c r="G21" s="173"/>
      <c r="H21" s="173"/>
      <c r="I21" s="158"/>
      <c r="J21" s="158"/>
      <c r="K21" s="158"/>
      <c r="L21" s="158"/>
      <c r="M21" s="158"/>
      <c r="N21" s="158"/>
      <c r="O21" s="158"/>
      <c r="P21" s="185" t="s">
        <v>1</v>
      </c>
      <c r="Q21" s="185" t="s">
        <v>2</v>
      </c>
      <c r="R21" s="185" t="s">
        <v>1</v>
      </c>
      <c r="S21" s="185" t="s">
        <v>2</v>
      </c>
      <c r="T21" s="185" t="s">
        <v>1</v>
      </c>
      <c r="U21" s="185" t="s">
        <v>2</v>
      </c>
      <c r="V21" s="185" t="s">
        <v>1</v>
      </c>
      <c r="W21" s="185" t="s">
        <v>2</v>
      </c>
      <c r="X21" s="185" t="s">
        <v>1</v>
      </c>
      <c r="Y21" s="185" t="s">
        <v>2</v>
      </c>
    </row>
    <row r="22" spans="1:38" ht="12" customHeight="1">
      <c r="I22" s="185" t="s">
        <v>3</v>
      </c>
      <c r="J22" s="185" t="s">
        <v>2</v>
      </c>
      <c r="M22" s="185" t="s">
        <v>3</v>
      </c>
      <c r="N22" s="185" t="s">
        <v>2</v>
      </c>
      <c r="P22" s="185" t="s">
        <v>4</v>
      </c>
      <c r="Q22" s="185" t="s">
        <v>5</v>
      </c>
      <c r="R22" s="185" t="s">
        <v>4</v>
      </c>
      <c r="S22" s="185" t="s">
        <v>6</v>
      </c>
      <c r="T22" s="185" t="s">
        <v>4</v>
      </c>
      <c r="U22" s="185" t="s">
        <v>7</v>
      </c>
      <c r="V22" s="185" t="s">
        <v>4</v>
      </c>
      <c r="W22" s="185" t="s">
        <v>6</v>
      </c>
      <c r="X22" s="185" t="s">
        <v>4</v>
      </c>
      <c r="Y22" s="185" t="s">
        <v>7</v>
      </c>
      <c r="Z22" s="185" t="s">
        <v>1</v>
      </c>
      <c r="AA22" s="185" t="s">
        <v>2</v>
      </c>
      <c r="AB22" s="185" t="s">
        <v>1</v>
      </c>
      <c r="AC22" s="185" t="s">
        <v>2</v>
      </c>
      <c r="AD22" s="185" t="s">
        <v>3</v>
      </c>
      <c r="AE22" s="185" t="s">
        <v>2</v>
      </c>
    </row>
    <row r="23" spans="1:38" ht="12" customHeight="1">
      <c r="H23" s="159" t="s">
        <v>8</v>
      </c>
      <c r="L23" s="159" t="s">
        <v>9</v>
      </c>
      <c r="O23" s="159" t="s">
        <v>10</v>
      </c>
      <c r="Q23" s="159" t="s">
        <v>11</v>
      </c>
      <c r="S23" s="159" t="s">
        <v>12</v>
      </c>
      <c r="U23" s="159" t="s">
        <v>13</v>
      </c>
      <c r="W23" s="159" t="s">
        <v>14</v>
      </c>
      <c r="Y23" s="159" t="s">
        <v>15</v>
      </c>
      <c r="AA23" s="159" t="s">
        <v>16</v>
      </c>
      <c r="AC23" s="159" t="s">
        <v>17</v>
      </c>
      <c r="AF23" s="159" t="s">
        <v>18</v>
      </c>
      <c r="AL23" s="159">
        <v>612</v>
      </c>
    </row>
    <row r="24" spans="1:38" ht="12" customHeight="1">
      <c r="A24" s="2" t="s">
        <v>90</v>
      </c>
      <c r="B24" s="157" t="s">
        <v>20</v>
      </c>
      <c r="C24" s="157" t="s">
        <v>21</v>
      </c>
      <c r="D24" s="157" t="s">
        <v>22</v>
      </c>
      <c r="E24" s="157" t="s">
        <v>23</v>
      </c>
      <c r="F24" s="157" t="s">
        <v>24</v>
      </c>
      <c r="G24" s="157" t="s">
        <v>25</v>
      </c>
      <c r="H24" s="157" t="s">
        <v>26</v>
      </c>
      <c r="I24" s="156" t="s">
        <v>91</v>
      </c>
      <c r="J24" s="156" t="s">
        <v>28</v>
      </c>
      <c r="K24" s="156" t="s">
        <v>29</v>
      </c>
      <c r="L24" s="156" t="s">
        <v>30</v>
      </c>
      <c r="M24" s="156" t="s">
        <v>31</v>
      </c>
      <c r="N24" s="156" t="s">
        <v>32</v>
      </c>
      <c r="O24" s="156" t="s">
        <v>33</v>
      </c>
      <c r="P24" s="156" t="s">
        <v>34</v>
      </c>
      <c r="Q24" s="163" t="s">
        <v>35</v>
      </c>
      <c r="R24" s="156" t="s">
        <v>36</v>
      </c>
      <c r="S24" s="163" t="s">
        <v>35</v>
      </c>
      <c r="T24" s="156" t="s">
        <v>37</v>
      </c>
      <c r="U24" s="163" t="s">
        <v>35</v>
      </c>
      <c r="V24" s="156" t="s">
        <v>36</v>
      </c>
      <c r="W24" s="163" t="s">
        <v>35</v>
      </c>
      <c r="X24" s="156" t="s">
        <v>37</v>
      </c>
      <c r="Y24" s="163" t="s">
        <v>35</v>
      </c>
      <c r="Z24" s="156" t="s">
        <v>36</v>
      </c>
      <c r="AA24" s="163" t="s">
        <v>35</v>
      </c>
      <c r="AB24" s="156" t="s">
        <v>36</v>
      </c>
      <c r="AC24" s="163" t="s">
        <v>35</v>
      </c>
      <c r="AD24" s="156" t="s">
        <v>38</v>
      </c>
      <c r="AE24" s="156" t="s">
        <v>39</v>
      </c>
      <c r="AF24" s="189" t="s">
        <v>40</v>
      </c>
      <c r="AG24" s="189" t="s">
        <v>41</v>
      </c>
      <c r="AH24" s="157" t="s">
        <v>42</v>
      </c>
      <c r="AI24" s="157" t="s">
        <v>43</v>
      </c>
      <c r="AJ24" s="157" t="s">
        <v>44</v>
      </c>
      <c r="AK24" s="164" t="s">
        <v>45</v>
      </c>
      <c r="AL24" s="157" t="s">
        <v>46</v>
      </c>
    </row>
    <row r="25" spans="1:38" ht="12" customHeight="1">
      <c r="B25" s="165" t="s">
        <v>47</v>
      </c>
      <c r="C25" s="166">
        <v>2200</v>
      </c>
      <c r="D25" s="166">
        <v>1850</v>
      </c>
      <c r="E25" s="166">
        <v>800</v>
      </c>
      <c r="F25" s="166">
        <v>2000</v>
      </c>
      <c r="G25" s="166">
        <v>1500</v>
      </c>
      <c r="H25" s="166"/>
      <c r="I25" s="185" t="s">
        <v>25</v>
      </c>
      <c r="J25" s="186">
        <v>34428</v>
      </c>
      <c r="K25" s="186">
        <v>22038.3</v>
      </c>
      <c r="L25" s="187">
        <v>66</v>
      </c>
      <c r="M25" s="185" t="s">
        <v>48</v>
      </c>
      <c r="N25" s="186">
        <v>16373.3</v>
      </c>
      <c r="O25" s="187">
        <v>2389</v>
      </c>
      <c r="P25" s="185" t="s">
        <v>49</v>
      </c>
      <c r="Q25" s="186">
        <v>3395</v>
      </c>
      <c r="R25" s="185" t="s">
        <v>50</v>
      </c>
      <c r="S25" s="186">
        <v>8445</v>
      </c>
      <c r="T25" s="185" t="s">
        <v>50</v>
      </c>
      <c r="U25" s="186">
        <v>8132.619999999999</v>
      </c>
      <c r="V25" s="185" t="s">
        <v>51</v>
      </c>
      <c r="W25" s="186">
        <v>11420</v>
      </c>
      <c r="X25" s="185" t="s">
        <v>52</v>
      </c>
      <c r="Y25" s="186">
        <v>6190.03</v>
      </c>
      <c r="Z25" s="185" t="s">
        <v>53</v>
      </c>
      <c r="AA25" s="186">
        <v>4175</v>
      </c>
      <c r="AB25" s="185" t="s">
        <v>54</v>
      </c>
      <c r="AC25" s="186">
        <v>800.04</v>
      </c>
      <c r="AD25" s="185" t="s">
        <v>55</v>
      </c>
      <c r="AE25" s="186">
        <v>15528</v>
      </c>
      <c r="AF25" s="188">
        <v>17</v>
      </c>
      <c r="AG25" s="188">
        <v>2588</v>
      </c>
      <c r="AH25" s="160">
        <v>6520</v>
      </c>
      <c r="AI25" s="160">
        <f>AE25/AG25</f>
        <v>6</v>
      </c>
      <c r="AJ25" s="161">
        <f>IFERROR((AG25*1.5)/1440, "?")</f>
        <v>2.6958333333333333</v>
      </c>
      <c r="AK25" s="2" t="s">
        <v>55</v>
      </c>
      <c r="AL25" s="162">
        <f>IFERROR((AJ25*24)/(AF25*8),0)</f>
        <v>0.47573529411764709</v>
      </c>
    </row>
    <row r="26" spans="1:38" ht="12" customHeight="1">
      <c r="B26" s="165" t="s">
        <v>56</v>
      </c>
      <c r="C26" s="166">
        <f>IFERROR((C31*C33 + C32*C34) / (C33 + C34), "")</f>
        <v>1213.9375</v>
      </c>
      <c r="D26" s="166">
        <f>IFERROR((D31*D33 + D32*D34) / (D33 + D34), "")</f>
        <v>1561</v>
      </c>
      <c r="E26" s="166">
        <f>IFERROR((E31*E33 + E32*E34) / (E33 + E34), "")</f>
        <v>503.84615384615387</v>
      </c>
      <c r="F26" s="166">
        <f>IFERROR((F31*F33 + F32*F34) / (F33 + F34), "")</f>
        <v>3904</v>
      </c>
      <c r="G26" s="166">
        <f>IFERROR((G31*G33 + G32*G34) / (G33 + G34), "")</f>
        <v>1045.6722222222222</v>
      </c>
      <c r="H26" s="166" t="str">
        <f>IFERROR((H31*H33 + H32*H34) / (H33 + H34), "")</f>
        <v/>
      </c>
      <c r="I26" s="185" t="s">
        <v>24</v>
      </c>
      <c r="J26" s="186">
        <v>2112</v>
      </c>
      <c r="K26" s="186">
        <v>9600</v>
      </c>
      <c r="L26" s="187">
        <v>3</v>
      </c>
      <c r="M26" s="185" t="s">
        <v>57</v>
      </c>
      <c r="N26" s="186">
        <v>9600</v>
      </c>
      <c r="O26" s="187">
        <v>733</v>
      </c>
      <c r="P26" s="185" t="s">
        <v>58</v>
      </c>
      <c r="Q26" s="186">
        <v>1262</v>
      </c>
      <c r="R26" s="185" t="s">
        <v>59</v>
      </c>
      <c r="S26" s="186">
        <v>4770</v>
      </c>
      <c r="T26" s="185" t="s">
        <v>60</v>
      </c>
      <c r="U26" s="186">
        <v>1323.8</v>
      </c>
      <c r="V26" s="185" t="s">
        <v>61</v>
      </c>
      <c r="W26" s="186">
        <v>2390</v>
      </c>
      <c r="X26" s="185" t="s">
        <v>62</v>
      </c>
      <c r="Y26" s="186">
        <v>5580</v>
      </c>
      <c r="Z26" s="185" t="s">
        <v>63</v>
      </c>
      <c r="AA26" s="186">
        <v>250.79000000000002</v>
      </c>
      <c r="AB26" s="185" t="s">
        <v>64</v>
      </c>
      <c r="AC26" s="186">
        <v>133.13</v>
      </c>
      <c r="AD26" s="185" t="s">
        <v>65</v>
      </c>
      <c r="AE26" s="186">
        <v>13966</v>
      </c>
      <c r="AF26" s="188">
        <v>12</v>
      </c>
      <c r="AG26" s="188">
        <v>2961</v>
      </c>
      <c r="AH26" s="160">
        <v>8720</v>
      </c>
      <c r="AI26" s="160">
        <f>AE26/AG26</f>
        <v>4.7166497804795675</v>
      </c>
      <c r="AJ26" s="161">
        <f>IFERROR((AG26*1.5)/1440, "?")</f>
        <v>3.0843750000000001</v>
      </c>
      <c r="AK26" s="2" t="s">
        <v>65</v>
      </c>
      <c r="AL26" s="162">
        <f>IFERROR((AJ26*24)/(AF26*8),0)</f>
        <v>0.77109375000000002</v>
      </c>
    </row>
    <row r="27" spans="1:38" ht="12" customHeight="1">
      <c r="B27" s="185" t="s">
        <v>3</v>
      </c>
      <c r="C27" s="185" t="s">
        <v>2</v>
      </c>
      <c r="D27" s="159"/>
      <c r="I27" s="185" t="s">
        <v>21</v>
      </c>
      <c r="J27" s="186">
        <v>11100</v>
      </c>
      <c r="K27" s="186">
        <v>8323</v>
      </c>
      <c r="L27" s="187">
        <v>16</v>
      </c>
      <c r="M27" s="185" t="s">
        <v>66</v>
      </c>
      <c r="N27" s="186">
        <v>6600</v>
      </c>
      <c r="O27" s="187">
        <v>1330</v>
      </c>
      <c r="P27" s="185" t="s">
        <v>50</v>
      </c>
      <c r="Q27" s="186">
        <v>440</v>
      </c>
      <c r="R27" s="185" t="s">
        <v>60</v>
      </c>
      <c r="S27" s="186">
        <v>1800</v>
      </c>
      <c r="T27" s="185" t="s">
        <v>49</v>
      </c>
      <c r="U27" s="186">
        <v>1100</v>
      </c>
      <c r="V27" s="185" t="s">
        <v>67</v>
      </c>
      <c r="W27" s="186">
        <v>1970</v>
      </c>
      <c r="X27" s="185" t="s">
        <v>68</v>
      </c>
      <c r="Y27" s="186">
        <v>1342.5900000000001</v>
      </c>
      <c r="Z27" s="1"/>
      <c r="AA27" s="1"/>
      <c r="AB27" s="185" t="s">
        <v>70</v>
      </c>
      <c r="AC27" s="186">
        <v>87.62</v>
      </c>
    </row>
    <row r="28" spans="1:38" ht="12" customHeight="1">
      <c r="I28" s="185" t="s">
        <v>23</v>
      </c>
      <c r="J28" s="186">
        <v>3200</v>
      </c>
      <c r="K28" s="186">
        <v>3350</v>
      </c>
      <c r="L28" s="187">
        <v>13</v>
      </c>
      <c r="M28" s="185" t="s">
        <v>71</v>
      </c>
      <c r="N28" s="186">
        <v>5400</v>
      </c>
      <c r="O28" s="187">
        <v>956</v>
      </c>
      <c r="P28" s="185" t="s">
        <v>60</v>
      </c>
      <c r="Q28" s="186">
        <v>270</v>
      </c>
      <c r="R28" s="185" t="s">
        <v>72</v>
      </c>
      <c r="S28" s="186">
        <v>1760</v>
      </c>
      <c r="T28" s="185" t="s">
        <v>73</v>
      </c>
      <c r="U28" s="186">
        <v>862</v>
      </c>
      <c r="V28" s="185" t="s">
        <v>74</v>
      </c>
      <c r="W28" s="186">
        <v>1860</v>
      </c>
      <c r="X28" s="185" t="s">
        <v>75</v>
      </c>
      <c r="Y28" s="186">
        <v>847.8</v>
      </c>
      <c r="AB28" s="185" t="s">
        <v>76</v>
      </c>
      <c r="AC28" s="186">
        <v>4853</v>
      </c>
    </row>
    <row r="29" spans="1:38" ht="12" customHeight="1">
      <c r="B29" s="156"/>
      <c r="C29" s="156" t="s">
        <v>26</v>
      </c>
      <c r="D29" s="156"/>
      <c r="E29" s="156"/>
      <c r="F29" s="156"/>
      <c r="G29" s="156"/>
      <c r="H29" s="1"/>
      <c r="I29" s="185" t="s">
        <v>22</v>
      </c>
      <c r="J29" s="186">
        <v>1122</v>
      </c>
      <c r="K29" s="186">
        <v>2000</v>
      </c>
      <c r="L29" s="187">
        <v>2</v>
      </c>
      <c r="M29" s="185" t="s">
        <v>77</v>
      </c>
      <c r="N29" s="186">
        <v>2830</v>
      </c>
      <c r="O29" s="187">
        <v>748</v>
      </c>
      <c r="P29" s="1"/>
      <c r="Q29" s="1"/>
      <c r="R29" s="185" t="s">
        <v>73</v>
      </c>
      <c r="S29" s="186">
        <v>1095</v>
      </c>
      <c r="T29" s="185" t="s">
        <v>58</v>
      </c>
      <c r="U29" s="186">
        <v>862</v>
      </c>
      <c r="V29" s="185" t="s">
        <v>78</v>
      </c>
      <c r="W29" s="186">
        <v>700</v>
      </c>
      <c r="X29" s="1"/>
      <c r="Y29" s="1"/>
      <c r="AB29" s="1"/>
      <c r="AC29" s="1"/>
    </row>
    <row r="30" spans="1:38" ht="12" customHeight="1">
      <c r="B30" s="185" t="s">
        <v>79</v>
      </c>
      <c r="C30" s="185" t="s">
        <v>21</v>
      </c>
      <c r="D30" s="185" t="s">
        <v>22</v>
      </c>
      <c r="E30" s="185" t="s">
        <v>23</v>
      </c>
      <c r="F30" s="185" t="s">
        <v>24</v>
      </c>
      <c r="G30" s="185" t="s">
        <v>25</v>
      </c>
      <c r="H30" s="1"/>
      <c r="I30" s="1"/>
      <c r="J30" s="1"/>
      <c r="K30" s="1"/>
      <c r="L30" s="1"/>
      <c r="M30" s="185" t="s">
        <v>80</v>
      </c>
      <c r="N30" s="186">
        <v>2270</v>
      </c>
      <c r="O30" s="187">
        <v>480</v>
      </c>
      <c r="R30" s="185" t="s">
        <v>49</v>
      </c>
      <c r="S30" s="186">
        <v>990</v>
      </c>
      <c r="T30" s="185" t="s">
        <v>59</v>
      </c>
      <c r="U30" s="186">
        <v>850</v>
      </c>
      <c r="V30" s="185" t="s">
        <v>81</v>
      </c>
      <c r="W30" s="186">
        <v>550</v>
      </c>
    </row>
    <row r="31" spans="1:38" ht="12" customHeight="1">
      <c r="B31" s="185" t="s">
        <v>82</v>
      </c>
      <c r="C31" s="186">
        <v>1110</v>
      </c>
      <c r="D31" s="186">
        <v>1122</v>
      </c>
      <c r="E31" s="186">
        <v>400</v>
      </c>
      <c r="F31" s="186">
        <v>1056</v>
      </c>
      <c r="G31" s="186">
        <v>983.65714285714284</v>
      </c>
      <c r="H31" s="1"/>
      <c r="M31" s="185" t="s">
        <v>83</v>
      </c>
      <c r="N31" s="186">
        <v>1328</v>
      </c>
      <c r="O31" s="187">
        <v>166</v>
      </c>
      <c r="R31" s="185" t="s">
        <v>58</v>
      </c>
      <c r="S31" s="186">
        <v>180</v>
      </c>
      <c r="T31" s="185" t="s">
        <v>72</v>
      </c>
      <c r="U31" s="186">
        <v>830</v>
      </c>
      <c r="V31" s="185" t="s">
        <v>84</v>
      </c>
      <c r="W31" s="186">
        <v>150</v>
      </c>
    </row>
    <row r="32" spans="1:38" ht="12" customHeight="1">
      <c r="B32" s="185" t="s">
        <v>85</v>
      </c>
      <c r="C32" s="186">
        <v>1387.1666666666667</v>
      </c>
      <c r="D32" s="186">
        <v>2000</v>
      </c>
      <c r="E32" s="186">
        <v>670</v>
      </c>
      <c r="F32" s="186">
        <v>9600</v>
      </c>
      <c r="G32" s="186">
        <v>1159.9105263157894</v>
      </c>
      <c r="H32" s="1"/>
      <c r="M32" s="185" t="s">
        <v>86</v>
      </c>
      <c r="N32" s="186">
        <v>910</v>
      </c>
      <c r="O32" s="187">
        <v>70</v>
      </c>
      <c r="R32" s="1"/>
      <c r="S32" s="1"/>
      <c r="T32" s="1"/>
      <c r="U32" s="1"/>
      <c r="V32" s="1"/>
      <c r="W32" s="1"/>
    </row>
    <row r="33" spans="1:23" ht="12" customHeight="1">
      <c r="B33" s="185" t="s">
        <v>87</v>
      </c>
      <c r="C33" s="187">
        <v>10</v>
      </c>
      <c r="D33" s="187">
        <v>1</v>
      </c>
      <c r="E33" s="187">
        <v>8</v>
      </c>
      <c r="F33" s="187">
        <v>2</v>
      </c>
      <c r="G33" s="187">
        <v>35</v>
      </c>
      <c r="H33" s="1"/>
      <c r="V33" s="1"/>
      <c r="W33" s="1"/>
    </row>
    <row r="34" spans="1:23" ht="12" customHeight="1">
      <c r="B34" s="185" t="s">
        <v>88</v>
      </c>
      <c r="C34" s="187">
        <v>6</v>
      </c>
      <c r="D34" s="187">
        <v>1</v>
      </c>
      <c r="E34" s="187">
        <v>5</v>
      </c>
      <c r="F34" s="187">
        <v>1</v>
      </c>
      <c r="G34" s="187">
        <v>19</v>
      </c>
      <c r="H34" s="1"/>
    </row>
    <row r="41" spans="1:23" ht="12" customHeight="1">
      <c r="B41" s="173" t="s">
        <v>92</v>
      </c>
      <c r="C41" s="173"/>
      <c r="D41" s="173"/>
      <c r="E41" s="173"/>
      <c r="F41" s="173"/>
      <c r="G41" s="173"/>
      <c r="H41" s="173"/>
    </row>
    <row r="44" spans="1:23" ht="12" customHeight="1">
      <c r="A44" s="2" t="s">
        <v>93</v>
      </c>
    </row>
    <row r="63" spans="8:9" ht="12" customHeight="1">
      <c r="H63" s="1"/>
      <c r="I63" s="1"/>
    </row>
    <row r="64" spans="8:9" ht="12" customHeight="1">
      <c r="H64" s="1"/>
      <c r="I64" s="1"/>
    </row>
    <row r="65" spans="8:9" ht="12" customHeight="1">
      <c r="H65" s="1"/>
      <c r="I65" s="1"/>
    </row>
    <row r="66" spans="8:9" ht="12" customHeight="1">
      <c r="H66" s="1"/>
      <c r="I66" s="1"/>
    </row>
    <row r="78" spans="8:9" ht="12" customHeight="1">
      <c r="H78" s="1"/>
      <c r="I78" s="1"/>
    </row>
    <row r="79" spans="8:9" ht="12" customHeight="1">
      <c r="H79" s="1"/>
      <c r="I79" s="1"/>
    </row>
    <row r="82" s="2" customFormat="1" ht="12" customHeight="1"/>
    <row r="84" s="2" customFormat="1" ht="12" customHeight="1"/>
    <row r="85" s="2" customFormat="1" ht="12" customHeight="1"/>
    <row r="86" s="2" customFormat="1" ht="12" customHeight="1"/>
  </sheetData>
  <mergeCells count="3">
    <mergeCell ref="B1:H1"/>
    <mergeCell ref="B21:H21"/>
    <mergeCell ref="B41:H41"/>
  </mergeCells>
  <pageMargins left="0.511811024" right="0.511811024" top="0.78740157499999996" bottom="0.78740157499999996" header="0.31496062000000002" footer="0.31496062000000002"/>
  <drawing r:id="rId23"/>
  <tableParts count="4">
    <tablePart r:id="rId24"/>
    <tablePart r:id="rId25"/>
    <tablePart r:id="rId26"/>
    <tablePart r:id="rId2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63F7-9913-46B5-B14A-C4A00A425955}">
  <sheetPr>
    <tabColor theme="2" tint="-0.89999084444715716"/>
  </sheetPr>
  <dimension ref="A1:U101"/>
  <sheetViews>
    <sheetView showGridLines="0" workbookViewId="0">
      <pane ySplit="1" topLeftCell="A70" activePane="bottomLeft" state="frozen"/>
      <selection pane="bottomLeft" activeCell="B85" sqref="B85:B90"/>
    </sheetView>
  </sheetViews>
  <sheetFormatPr defaultColWidth="0" defaultRowHeight="15" customHeight="1"/>
  <cols>
    <col min="1" max="1" width="17.7109375" style="15" bestFit="1" customWidth="1"/>
    <col min="2" max="2" width="17.140625" style="15" customWidth="1"/>
    <col min="3" max="4" width="5.140625" style="15" customWidth="1"/>
    <col min="5" max="6" width="9.5703125" style="141" customWidth="1"/>
    <col min="7" max="7" width="22" style="15" bestFit="1" customWidth="1"/>
    <col min="8" max="8" width="11.7109375" style="15" bestFit="1" customWidth="1"/>
    <col min="9" max="9" width="11.42578125" style="142" bestFit="1" customWidth="1"/>
    <col min="10" max="10" width="30.140625" style="15" customWidth="1"/>
    <col min="11" max="11" width="14" style="15" customWidth="1"/>
    <col min="12" max="13" width="12.7109375" style="15" customWidth="1"/>
    <col min="14" max="14" width="21.7109375" style="15" customWidth="1"/>
    <col min="15" max="16" width="14" style="15" customWidth="1"/>
    <col min="17" max="17" width="13.5703125" style="15" customWidth="1"/>
    <col min="18" max="19" width="9.7109375" style="15" customWidth="1"/>
    <col min="20" max="20" width="4.85546875" style="2" bestFit="1" customWidth="1"/>
    <col min="21" max="21" width="15" style="2" customWidth="1"/>
    <col min="22" max="16384" width="0" style="1" hidden="1"/>
  </cols>
  <sheetData>
    <row r="1" spans="1:21" s="9" customFormat="1" ht="14.45">
      <c r="A1" s="12" t="s">
        <v>94</v>
      </c>
      <c r="B1" s="10" t="s">
        <v>95</v>
      </c>
      <c r="C1" s="10" t="s">
        <v>96</v>
      </c>
      <c r="D1" s="10" t="s">
        <v>97</v>
      </c>
      <c r="E1" s="98" t="s">
        <v>98</v>
      </c>
      <c r="F1" s="99" t="s">
        <v>99</v>
      </c>
      <c r="G1" s="10" t="s">
        <v>100</v>
      </c>
      <c r="H1" s="10" t="s">
        <v>3</v>
      </c>
      <c r="I1" s="101" t="s">
        <v>101</v>
      </c>
      <c r="J1" s="10" t="s">
        <v>102</v>
      </c>
      <c r="K1" s="10" t="s">
        <v>103</v>
      </c>
      <c r="L1" s="10" t="s">
        <v>104</v>
      </c>
      <c r="M1" s="10" t="s">
        <v>105</v>
      </c>
      <c r="N1" s="12" t="s">
        <v>4</v>
      </c>
      <c r="O1" s="10" t="s">
        <v>106</v>
      </c>
      <c r="P1" s="12" t="s">
        <v>107</v>
      </c>
      <c r="Q1" s="10" t="s">
        <v>108</v>
      </c>
      <c r="R1" s="10" t="s">
        <v>109</v>
      </c>
      <c r="S1" s="10" t="s">
        <v>110</v>
      </c>
      <c r="T1" s="64"/>
      <c r="U1" s="64"/>
    </row>
    <row r="2" spans="1:21">
      <c r="A2" s="12" t="s">
        <v>111</v>
      </c>
      <c r="B2" s="10" t="s">
        <v>77</v>
      </c>
      <c r="C2" s="97">
        <f>IFERROR((D2*1.5)/1440, "?")</f>
        <v>0.10208333333333333</v>
      </c>
      <c r="D2" s="10">
        <v>98</v>
      </c>
      <c r="E2" s="98"/>
      <c r="F2" s="99">
        <v>300</v>
      </c>
      <c r="G2" s="10" t="s">
        <v>112</v>
      </c>
      <c r="H2" s="100">
        <v>45964</v>
      </c>
      <c r="I2" s="101">
        <v>45964</v>
      </c>
      <c r="J2" s="10" t="s">
        <v>113</v>
      </c>
      <c r="K2" s="10" t="s">
        <v>114</v>
      </c>
      <c r="L2" s="10" t="s">
        <v>58</v>
      </c>
      <c r="M2" s="10" t="s">
        <v>115</v>
      </c>
      <c r="N2" s="12" t="s">
        <v>116</v>
      </c>
      <c r="O2" s="10" t="s">
        <v>117</v>
      </c>
      <c r="P2" s="13" t="s">
        <v>118</v>
      </c>
      <c r="Q2" s="10" t="s">
        <v>119</v>
      </c>
      <c r="R2" s="10" t="s">
        <v>58</v>
      </c>
      <c r="S2" s="10" t="s">
        <v>25</v>
      </c>
      <c r="T2" s="2" t="str">
        <f>IF(
  OR(
    IFERROR(FIND("BM",G2),0)&gt;0,
    IFERROR(FIND("PY",G2),0)&gt;0
  ),
  MID(TRIM(SUBSTITUTE(SUBSTITUTE(G2,CHAR(160),""),CHAR(9),"")),4,5),
  MID(TRIM(SUBSTITUTE(SUBSTITUTE(G2,CHAR(160),""),CHAR(9),"")),4,4)
)</f>
        <v>5060E</v>
      </c>
      <c r="U2" s="2" t="str" cm="1">
        <f t="array" ref="U2">_xlfn.LET(
  _xlpm.ch, TRIM(SUBSTITUTE(G2,CHAR(160),"")),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IF(L2="CLIENTE", O2, IF(LEFT(L2,4)="http", L2, "MACPONTA AGRO DE "&amp;L2)),
  _xlpm.paraBase, IF(M2="CLIENTE", P2, M2),
  _xlpm.paraTxt, IF(LEFT(_xlpm.paraBase,4)="http", _xlpm.paraBase, "MACPONTA AGRO DE "&amp;_xlpm.paraBase),
  _xlpm.nfParte, IF(LEN(TRIM(I2))=0, "", " -NF "&amp;TRIM(I2)),
  "- " &amp; _xlpm.tipotxt &amp; ": *" &amp; G2 &amp; "*" &amp; CHAR(13)&amp;CHAR(10) &amp;
  "- " &amp; _xlpm.dimtxt &amp; CHAR(13)&amp;CHAR(10) &amp;
  "- *Cliente*: " &amp; J2 &amp; _xlpm.nfParte &amp; CHAR(13)&amp;CHAR(10) &amp;
  "- *Obs:* " &amp; O2 &amp; CHAR(13)&amp;CHAR(10) &amp; CHAR(10) &amp;
  "- *De*: " &amp; _xlpm.deTxt &amp; CHAR(13)&amp;CHAR(10) &amp;
  "- *Para*: " &amp; _xlpm.paraTxt &amp; CHAR(13)&amp;CHAR(10) &amp;
  "- *Ida e volta*: +/- " &amp; TEXT(((D2*1.5)/1440),"h:mm") &amp; "h | " &amp; D2 &amp; "km"
)</f>
        <v>- TRATOR: *1BM5060ECN4103629*_x000D_
- A:2,60 x C:4,08 x L:1,45-2,00 x P:5.100kg_x000D_
- *Cliente*: MANUTENÇÃO → CLIENTE -NF 45964_x000D_
- *Obs:* MPA_x000D_
- *De*: MACPONTA AGRO DE IRATI_x000D_
- *Para*: https://maps.app.goo.gl/MLVchYQrLvQGhWWp6_x000D_
- *Ida e volta*: +/- 2:27h | 98km</v>
      </c>
    </row>
    <row r="3" spans="1:21" ht="14.45">
      <c r="A3" s="12" t="s">
        <v>111</v>
      </c>
      <c r="B3" s="10" t="s">
        <v>77</v>
      </c>
      <c r="C3" s="97">
        <f>IFERROR((D3*1.5)/1440, "?")</f>
        <v>0.11979166666666667</v>
      </c>
      <c r="D3" s="10">
        <v>115</v>
      </c>
      <c r="E3" s="98"/>
      <c r="F3" s="99">
        <v>500</v>
      </c>
      <c r="G3" s="10" t="s">
        <v>120</v>
      </c>
      <c r="H3" s="100">
        <v>45964</v>
      </c>
      <c r="I3" s="101">
        <v>45964</v>
      </c>
      <c r="J3" s="10" t="s">
        <v>113</v>
      </c>
      <c r="K3" s="10" t="s">
        <v>114</v>
      </c>
      <c r="L3" s="10" t="s">
        <v>58</v>
      </c>
      <c r="M3" s="10" t="s">
        <v>115</v>
      </c>
      <c r="N3" s="12" t="s">
        <v>116</v>
      </c>
      <c r="O3" s="10" t="s">
        <v>117</v>
      </c>
      <c r="P3" s="13" t="s">
        <v>121</v>
      </c>
      <c r="Q3" s="10" t="s">
        <v>122</v>
      </c>
      <c r="R3" s="10" t="s">
        <v>58</v>
      </c>
      <c r="S3" s="10" t="s">
        <v>25</v>
      </c>
      <c r="T3" s="2" t="str">
        <f t="shared" ref="T3:T64" si="0">IF(
  OR(
    IFERROR(FIND("BM",G3),0)&gt;0,
    IFERROR(FIND("PY",G3),0)&gt;0
  ),
  MID(TRIM(SUBSTITUTE(SUBSTITUTE(G3,CHAR(160),""),CHAR(9),"")),4,5),
  MID(TRIM(SUBSTITUTE(SUBSTITUTE(G3,CHAR(160),""),CHAR(9),"")),4,4)
)</f>
        <v>5080E</v>
      </c>
      <c r="U3" s="2" t="str" cm="1">
        <f t="array" ref="U3">_xlfn.LET(
  _xlpm.ch, TRIM(SUBSTITUTE(G3,CHAR(160),"")),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IF(L3="CLIENTE", O3, IF(LEFT(L3,4)="http", L3, "MACPONTA AGRO DE "&amp;L3)),
  _xlpm.paraBase, IF(M3="CLIENTE", P3, M3),
  _xlpm.paraTxt, IF(LEFT(_xlpm.paraBase,4)="http", _xlpm.paraBase, "MACPONTA AGRO DE "&amp;_xlpm.paraBase),
  _xlpm.nfParte, IF(LEN(TRIM(I3))=0, "", " -NF "&amp;TRIM(I3)),
  "- " &amp; _xlpm.tipotxt &amp; ": *" &amp; G3 &amp; "*" &amp; CHAR(13)&amp;CHAR(10) &amp;
  "- " &amp; _xlpm.dimtxt &amp; CHAR(13)&amp;CHAR(10) &amp;
  "- *Cliente*: " &amp; J3 &amp; _xlpm.nfParte &amp; CHAR(13)&amp;CHAR(10) &amp;
  "- *Obs:* " &amp; O3 &amp; CHAR(13)&amp;CHAR(10) &amp; CHAR(10) &amp;
  "- *De*: " &amp; _xlpm.deTxt &amp; CHAR(13)&amp;CHAR(10) &amp;
  "- *Para*: " &amp; _xlpm.paraTxt &amp; CHAR(13)&amp;CHAR(10) &amp;
  "- *Ida e volta*: +/- " &amp; TEXT(((D3*1.5)/1440),"h:mm") &amp; "h | " &amp; D3 &amp; "km"
)</f>
        <v>- TRATOR: *1BM5080ECP4111950*_x000D_
- A:2,60 x C:4,08 x L:1,45-2,00 x P:5.100kg_x000D_
- *Cliente*: MANUTENÇÃO → CLIENTE -NF 45964_x000D_
- *Obs:* MPA_x000D_
- *De*: MACPONTA AGRO DE IRATI_x000D_
- *Para*: https://maps.app.goo.gl/rYQLkSMERduCoffL8_x000D_
- *Ida e volta*: +/- 2:52h | 115km</v>
      </c>
    </row>
    <row r="4" spans="1:21" ht="14.45">
      <c r="A4" s="12" t="s">
        <v>111</v>
      </c>
      <c r="B4" s="10" t="s">
        <v>77</v>
      </c>
      <c r="C4" s="97">
        <f>IFERROR((D4*1.5)/1440, "?")</f>
        <v>0.11979166666666667</v>
      </c>
      <c r="D4" s="10">
        <v>115</v>
      </c>
      <c r="E4" s="98"/>
      <c r="F4" s="99">
        <v>300</v>
      </c>
      <c r="G4" s="10" t="s">
        <v>123</v>
      </c>
      <c r="H4" s="100">
        <v>45964</v>
      </c>
      <c r="I4" s="101">
        <v>45964</v>
      </c>
      <c r="J4" s="10" t="s">
        <v>124</v>
      </c>
      <c r="K4" s="10" t="s">
        <v>114</v>
      </c>
      <c r="L4" s="10" t="s">
        <v>115</v>
      </c>
      <c r="M4" s="10" t="s">
        <v>58</v>
      </c>
      <c r="N4" s="12" t="s">
        <v>125</v>
      </c>
      <c r="O4" s="11" t="s">
        <v>126</v>
      </c>
      <c r="P4" s="12" t="s">
        <v>117</v>
      </c>
      <c r="Q4" s="10" t="s">
        <v>127</v>
      </c>
      <c r="R4" s="10" t="s">
        <v>58</v>
      </c>
      <c r="S4" s="10" t="s">
        <v>25</v>
      </c>
      <c r="T4" s="2" t="str">
        <f t="shared" si="0"/>
        <v>5080E</v>
      </c>
      <c r="U4" s="2" t="str" cm="1">
        <f t="array" ref="U4">_xlfn.LET(
  _xlpm.ch, TRIM(SUBSTITUTE(G4,CHAR(160),"")),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IF(L4="CLIENTE", O4, IF(LEFT(L4,4)="http", L4, "MACPONTA AGRO DE "&amp;L4)),
  _xlpm.paraBase, IF(M4="CLIENTE", P4, M4),
  _xlpm.paraTxt, IF(LEFT(_xlpm.paraBase,4)="http", _xlpm.paraBase, "MACPONTA AGRO DE "&amp;_xlpm.paraBase),
  _xlpm.nfParte, IF(LEN(TRIM(I4))=0, "", " -NF "&amp;TRIM(I4)),
  "- " &amp; _xlpm.tipotxt &amp; ": *" &amp; G4 &amp; "*" &amp; CHAR(13)&amp;CHAR(10) &amp;
  "- " &amp; _xlpm.dimtxt &amp; CHAR(13)&amp;CHAR(10) &amp;
  "- *Cliente*: " &amp; J4 &amp; _xlpm.nfParte &amp; CHAR(13)&amp;CHAR(10) &amp;
  "- *Obs:* " &amp; O4 &amp; CHAR(13)&amp;CHAR(10) &amp; CHAR(10) &amp;
  "- *De*: " &amp; _xlpm.deTxt &amp; CHAR(13)&amp;CHAR(10) &amp;
  "- *Para*: " &amp; _xlpm.paraTxt &amp; CHAR(13)&amp;CHAR(10) &amp;
  "- *Ida e volta*: +/- " &amp; TEXT(((D4*1.5)/1440),"h:mm") &amp; "h | " &amp; D4 &amp; "km"
)</f>
        <v>- TRATOR: *1BM5080EEP4112594*_x000D_
- A:2,60 x C:4,08 x L:1,45-2,00 x P:5.100kg_x000D_
- *Cliente*: CLIENTE → MANUTENÇÃO -NF 45964_x000D_
- *Obs:* https://maps.app.goo.gl/MTXwpjxVEM4SBPA46_x000D_
- *De*: https://maps.app.goo.gl/MTXwpjxVEM4SBPA46_x000D_
- *Para*: MACPONTA AGRO DE IRATI_x000D_
- *Ida e volta*: +/- 2:52h | 115km</v>
      </c>
    </row>
    <row r="5" spans="1:21" ht="14.45">
      <c r="A5" s="12" t="s">
        <v>111</v>
      </c>
      <c r="B5" s="10" t="s">
        <v>48</v>
      </c>
      <c r="C5" s="97">
        <f>IFERROR((D5*1.5)/1440, "?")</f>
        <v>0.15625</v>
      </c>
      <c r="D5" s="10">
        <v>150</v>
      </c>
      <c r="E5" s="98"/>
      <c r="F5" s="99">
        <v>1352</v>
      </c>
      <c r="G5" s="10" t="s">
        <v>128</v>
      </c>
      <c r="H5" s="100">
        <v>45964</v>
      </c>
      <c r="I5" s="101">
        <v>45964</v>
      </c>
      <c r="J5" s="10" t="s">
        <v>129</v>
      </c>
      <c r="K5" s="10" t="s">
        <v>130</v>
      </c>
      <c r="L5" s="10" t="s">
        <v>131</v>
      </c>
      <c r="M5" s="10" t="s">
        <v>115</v>
      </c>
      <c r="N5" s="12" t="s">
        <v>116</v>
      </c>
      <c r="O5" s="10" t="s">
        <v>117</v>
      </c>
      <c r="P5" s="12" t="s">
        <v>132</v>
      </c>
      <c r="Q5" s="10" t="s">
        <v>133</v>
      </c>
      <c r="R5" s="10" t="s">
        <v>131</v>
      </c>
      <c r="S5" s="10" t="s">
        <v>25</v>
      </c>
      <c r="T5" s="2" t="str">
        <f t="shared" si="0"/>
        <v>5080E</v>
      </c>
      <c r="U5" s="2" t="str" cm="1">
        <f t="array" ref="U5">_xlfn.LET(
  _xlpm.ch, TRIM(SUBSTITUTE(G5,CHAR(160),"")),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IF(L5="CLIENTE", O5, IF(LEFT(L5,4)="http", L5, "MACPONTA AGRO DE "&amp;L5)),
  _xlpm.paraBase, IF(M5="CLIENTE", P5, M5),
  _xlpm.paraTxt, IF(LEFT(_xlpm.paraBase,4)="http", _xlpm.paraBase, "MACPONTA AGRO DE "&amp;_xlpm.paraBase),
  _xlpm.nfParte, IF(LEN(TRIM(I5))=0, "", " -NF "&amp;TRIM(I5)),
  "- " &amp; _xlpm.tipotxt &amp; ": *" &amp; G5 &amp; "*" &amp; CHAR(13)&amp;CHAR(10) &amp;
  "- " &amp; _xlpm.dimtxt &amp; CHAR(13)&amp;CHAR(10) &amp;
  "- *Cliente*: " &amp; J5 &amp; _xlpm.nfParte &amp; CHAR(13)&amp;CHAR(10) &amp;
  "- *Obs:* " &amp; O5 &amp; CHAR(13)&amp;CHAR(10) &amp; CHAR(10) &amp;
  "- *De*: " &amp; _xlpm.deTxt &amp; CHAR(13)&amp;CHAR(10) &amp;
  "- *Para*: " &amp; _xlpm.paraTxt &amp; CHAR(13)&amp;CHAR(10) &amp;
  "- *Ida e volta*: +/- " &amp; TEXT(((D5*1.5)/1440),"h:mm") &amp; "h | " &amp; D5 &amp; "km"
)</f>
        <v>- TRATOR: *1BM5080EPS4204124*_x000D_
- A:2,60 x C:4,08 x L:1,45-2,00 x P:5.100kg_x000D_
- *Cliente*: LUIZ HENRIQUE GREIN -NF107347  -NF 45964_x000D_
- *Obs:* MPA_x000D_
- *De*: MACPONTA AGRO DE GUARAPUAVA_x000D_
- *Para*: https://maps.app.goo.gl/jZEWqzLvNcpTnRBE8_x000D_
- *Ida e volta*: +/- 3:45h | 150km</v>
      </c>
    </row>
    <row r="6" spans="1:21" ht="14.45">
      <c r="A6" s="12" t="s">
        <v>111</v>
      </c>
      <c r="B6" s="10" t="s">
        <v>48</v>
      </c>
      <c r="C6" s="97">
        <f>IFERROR((D6*1.5)/1440, "?")</f>
        <v>0.17916666666666667</v>
      </c>
      <c r="D6" s="10">
        <v>172</v>
      </c>
      <c r="E6" s="98"/>
      <c r="F6" s="99">
        <v>650</v>
      </c>
      <c r="G6" s="10" t="s">
        <v>134</v>
      </c>
      <c r="H6" s="100">
        <v>45964</v>
      </c>
      <c r="I6" s="101">
        <v>45964</v>
      </c>
      <c r="J6" s="10" t="s">
        <v>135</v>
      </c>
      <c r="K6" s="10" t="s">
        <v>130</v>
      </c>
      <c r="L6" s="10" t="s">
        <v>131</v>
      </c>
      <c r="M6" s="10" t="s">
        <v>115</v>
      </c>
      <c r="N6" s="12" t="s">
        <v>116</v>
      </c>
      <c r="O6" s="10" t="s">
        <v>117</v>
      </c>
      <c r="P6" s="13" t="s">
        <v>136</v>
      </c>
      <c r="Q6" s="10" t="s">
        <v>137</v>
      </c>
      <c r="R6" s="10" t="s">
        <v>131</v>
      </c>
      <c r="S6" s="10" t="s">
        <v>23</v>
      </c>
      <c r="T6" s="2" t="str">
        <f t="shared" si="0"/>
        <v>FA30</v>
      </c>
      <c r="U6" s="2" t="str" cm="1">
        <f t="array" ref="U6">_xlfn.LET(
  _xlpm.ch, TRIM(SUBSTITUTE(G6,CHAR(160),"")),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IF(L6="CLIENTE", O6, IF(LEFT(L6,4)="http", L6, "MACPONTA AGRO DE "&amp;L6)),
  _xlpm.paraBase, IF(M6="CLIENTE", P6, M6),
  _xlpm.paraTxt, IF(LEFT(_xlpm.paraBase,4)="http", _xlpm.paraBase, "MACPONTA AGRO DE "&amp;_xlpm.paraBase),
  _xlpm.nfParte, IF(LEN(TRIM(I6))=0, "", " -NF "&amp;TRIM(I6)),
  "- " &amp; _xlpm.tipotxt &amp; ": *" &amp; G6 &amp; "*" &amp; CHAR(13)&amp;CHAR(10) &amp;
  "- " &amp; _xlpm.dimtxt &amp; CHAR(13)&amp;CHAR(10) &amp;
  "- *Cliente*: " &amp; J6 &amp; _xlpm.nfParte &amp; CHAR(13)&amp;CHAR(10) &amp;
  "- *Obs:* " &amp; O6 &amp; CHAR(13)&amp;CHAR(10) &amp; CHAR(10) &amp;
  "- *De*: " &amp; _xlpm.deTxt &amp; CHAR(13)&amp;CHAR(10) &amp;
  "- *Para*: " &amp; _xlpm.paraTxt &amp; CHAR(13)&amp;CHAR(10) &amp;
  "- *Ida e volta*: +/- " &amp; TEXT(((D6*1.5)/1440),"h:mm") &amp; "h | " &amp; D6 &amp; "km"
)</f>
        <v>- PLATAFORMA: *1CQFA30AAS0160114*_x000D_
- A:1,60 x C:9,14 x L:1,80-1,80 x P:2.900kg_x000D_
- *Cliente*: ARNALDO STOCK -NF107847 -NF 45964_x000D_
- *Obs:* MPA_x000D_
- *De*: MACPONTA AGRO DE GUARAPUAVA_x000D_
- *Para*: https://maps.app.goo.gl/kFwUPivsMpYS8pGd8_x000D_
- *Ida e volta*: +/- 4:18h | 172km</v>
      </c>
    </row>
    <row r="7" spans="1:21" ht="14.45">
      <c r="A7" s="12" t="s">
        <v>111</v>
      </c>
      <c r="B7" s="10" t="s">
        <v>48</v>
      </c>
      <c r="C7" s="97">
        <f>IFERROR((D7*1.5)/1440, "?")</f>
        <v>0.17916666666666667</v>
      </c>
      <c r="D7" s="10">
        <v>172</v>
      </c>
      <c r="E7" s="98"/>
      <c r="F7" s="99">
        <v>650</v>
      </c>
      <c r="G7" s="10" t="s">
        <v>138</v>
      </c>
      <c r="H7" s="100">
        <v>45964</v>
      </c>
      <c r="I7" s="101">
        <v>45964</v>
      </c>
      <c r="J7" s="10" t="s">
        <v>135</v>
      </c>
      <c r="K7" s="10" t="s">
        <v>130</v>
      </c>
      <c r="L7" s="10" t="s">
        <v>131</v>
      </c>
      <c r="M7" s="10" t="s">
        <v>115</v>
      </c>
      <c r="N7" s="12" t="s">
        <v>116</v>
      </c>
      <c r="O7" s="10" t="s">
        <v>117</v>
      </c>
      <c r="P7" s="13" t="s">
        <v>139</v>
      </c>
      <c r="Q7" s="10" t="s">
        <v>137</v>
      </c>
      <c r="R7" s="10" t="s">
        <v>131</v>
      </c>
      <c r="S7" s="10" t="s">
        <v>21</v>
      </c>
      <c r="T7" s="2" t="str">
        <f t="shared" si="0"/>
        <v>S760</v>
      </c>
      <c r="U7" s="2" t="str" cm="1">
        <f t="array" ref="U7">_xlfn.LET(
  _xlpm.ch, TRIM(SUBSTITUTE(G7,CHAR(160),"")),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IF(L7="CLIENTE", O7, IF(LEFT(L7,4)="http", L7, "MACPONTA AGRO DE "&amp;L7)),
  _xlpm.paraBase, IF(M7="CLIENTE", P7, M7),
  _xlpm.paraTxt, IF(LEFT(_xlpm.paraBase,4)="http", _xlpm.paraBase, "MACPONTA AGRO DE "&amp;_xlpm.paraBase),
  _xlpm.nfParte, IF(LEN(TRIM(I7))=0, "", " -NF "&amp;TRIM(I7)),
  "- " &amp; _xlpm.tipotxt &amp; ": *" &amp; G7 &amp; "*" &amp; CHAR(13)&amp;CHAR(10) &amp;
  "- " &amp; _xlpm.dimtxt &amp; CHAR(13)&amp;CHAR(10) &amp;
  "- *Cliente*: " &amp; J7 &amp; _xlpm.nfParte &amp; CHAR(13)&amp;CHAR(10) &amp;
  "- *Obs:* " &amp; O7 &amp; CHAR(13)&amp;CHAR(10) &amp; CHAR(10) &amp;
  "- *De*: " &amp; _xlpm.deTxt &amp; CHAR(13)&amp;CHAR(10) &amp;
  "- *Para*: " &amp; _xlpm.paraTxt &amp; CHAR(13)&amp;CHAR(10) &amp;
  "- *Ida e volta*: +/- " &amp; TEXT(((D7*1.5)/1440),"h:mm") &amp; "h | " &amp; D7 &amp; "km"
)</f>
        <v>- COLHEITADEIRA: *1CQS760ACS0160134*_x000D_
- A:4,00 x C:10,60 x L:3,50-5,20 x P:18.599kg_x000D_
- *Cliente*: ARNALDO STOCK -NF107847 -NF 45964_x000D_
- *Obs:* MPA_x000D_
- *De*: MACPONTA AGRO DE GUARAPUAVA_x000D_
- *Para*: https://maps.app.goo.gl/Kk5FKYUBPHUbo26P8_x000D_
- *Ida e volta*: +/- 4:18h | 172km</v>
      </c>
    </row>
    <row r="8" spans="1:21" ht="14.45">
      <c r="A8" s="12" t="s">
        <v>111</v>
      </c>
      <c r="B8" s="10" t="s">
        <v>86</v>
      </c>
      <c r="C8" s="97">
        <f>IFERROR((D8*1.5)/1440, "?")</f>
        <v>7.2916666666666671E-2</v>
      </c>
      <c r="D8" s="10">
        <v>70</v>
      </c>
      <c r="E8" s="98"/>
      <c r="F8" s="99">
        <v>910</v>
      </c>
      <c r="G8" s="10" t="s">
        <v>140</v>
      </c>
      <c r="H8" s="100">
        <v>45964</v>
      </c>
      <c r="I8" s="101">
        <v>45964</v>
      </c>
      <c r="J8" s="10" t="s">
        <v>141</v>
      </c>
      <c r="K8" s="10" t="s">
        <v>142</v>
      </c>
      <c r="L8" s="10" t="s">
        <v>58</v>
      </c>
      <c r="M8" s="10" t="s">
        <v>115</v>
      </c>
      <c r="N8" s="12" t="s">
        <v>116</v>
      </c>
      <c r="O8" s="10" t="s">
        <v>117</v>
      </c>
      <c r="P8" s="12" t="s">
        <v>143</v>
      </c>
      <c r="Q8" s="10" t="s">
        <v>144</v>
      </c>
      <c r="R8" s="10" t="s">
        <v>58</v>
      </c>
      <c r="S8" s="10" t="s">
        <v>25</v>
      </c>
      <c r="T8" s="2" t="str">
        <f t="shared" si="0"/>
        <v>6135M</v>
      </c>
      <c r="U8" s="2" t="str" cm="1">
        <f t="array" ref="U8">_xlfn.LET(
  _xlpm.ch, TRIM(SUBSTITUTE(G8,CHAR(160),"")),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IF(L8="CLIENTE", O8, IF(LEFT(L8,4)="http", L8, "MACPONTA AGRO DE "&amp;L8)),
  _xlpm.paraBase, IF(M8="CLIENTE", P8, M8),
  _xlpm.paraTxt, IF(LEFT(_xlpm.paraBase,4)="http", _xlpm.paraBase, "MACPONTA AGRO DE "&amp;_xlpm.paraBase),
  _xlpm.nfParte, IF(LEN(TRIM(I8))=0, "", " -NF "&amp;TRIM(I8)),
  "- " &amp; _xlpm.tipotxt &amp; ": *" &amp; G8 &amp; "*" &amp; CHAR(13)&amp;CHAR(10) &amp;
  "- " &amp; _xlpm.dimtxt &amp; CHAR(13)&amp;CHAR(10) &amp;
  "- *Cliente*: " &amp; J8 &amp; _xlpm.nfParte &amp; CHAR(13)&amp;CHAR(10) &amp;
  "- *Obs:* " &amp; O8 &amp; CHAR(13)&amp;CHAR(10) &amp; CHAR(10) &amp;
  "- *De*: " &amp; _xlpm.deTxt &amp; CHAR(13)&amp;CHAR(10) &amp;
  "- *Para*: " &amp; _xlpm.paraTxt &amp; CHAR(13)&amp;CHAR(10) &amp;
  "- *Ida e volta*: +/- " &amp; TEXT(((D8*1.5)/1440),"h:mm") &amp; "h | " &amp; D8 &amp; "km"
)</f>
        <v>- TRATOR: *1BM6135MPSH000596*_x000D_
- A:2,28 x C:4,56 x L:2,87-3,45 x P:7.500kg_x000D_
- *Cliente*: LAURO MIGUEL STRONA -NF76755 -NF 45964_x000D_
- *Obs:* MPA_x000D_
- *De*: MACPONTA AGRO DE IRATI_x000D_
- *Para*: https://maps.app.goo.gl/JxzGitfYRrvxzYUL9_x000D_
- *Ida e volta*: +/- 1:45h | 70km</v>
      </c>
    </row>
    <row r="9" spans="1:21" ht="14.45">
      <c r="A9" s="12" t="s">
        <v>111</v>
      </c>
      <c r="B9" s="10" t="s">
        <v>55</v>
      </c>
      <c r="C9" s="97">
        <f>IFERROR((D9*1.5)/1440, "?")</f>
        <v>0.34375</v>
      </c>
      <c r="D9" s="10">
        <v>330</v>
      </c>
      <c r="E9" s="98">
        <f>IFERROR((D9*6),"?")</f>
        <v>1980</v>
      </c>
      <c r="F9" s="99"/>
      <c r="G9" s="10" t="s">
        <v>145</v>
      </c>
      <c r="H9" s="100">
        <v>45965</v>
      </c>
      <c r="I9" s="101">
        <v>45965</v>
      </c>
      <c r="J9" s="10" t="s">
        <v>146</v>
      </c>
      <c r="K9" s="10" t="s">
        <v>147</v>
      </c>
      <c r="L9" s="10" t="s">
        <v>148</v>
      </c>
      <c r="M9" s="10" t="s">
        <v>115</v>
      </c>
      <c r="N9" s="12" t="s">
        <v>116</v>
      </c>
      <c r="O9" s="10" t="s">
        <v>117</v>
      </c>
      <c r="P9" s="135" t="s">
        <v>149</v>
      </c>
      <c r="Q9" s="10" t="s">
        <v>150</v>
      </c>
      <c r="R9" s="10" t="s">
        <v>148</v>
      </c>
      <c r="S9" s="10" t="s">
        <v>24</v>
      </c>
      <c r="T9" s="2" t="str">
        <f t="shared" si="0"/>
        <v>4025</v>
      </c>
      <c r="U9" s="2" t="str" cm="1">
        <f t="array" ref="U9">_xlfn.LET(
  _xlpm.ch, TRIM(SUBSTITUTE(G9,CHAR(160),"")),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IF(L9="CLIENTE", O9, IF(LEFT(L9,4)="http", L9, "MACPONTA AGRO DE "&amp;L9)),
  _xlpm.paraBase, IF(M9="CLIENTE", P9, M9),
  _xlpm.paraTxt, IF(LEFT(_xlpm.paraBase,4)="http", _xlpm.paraBase, "MACPONTA AGRO DE "&amp;_xlpm.paraBase),
  _xlpm.nfParte, IF(LEN(TRIM(I9))=0, "", " -NF "&amp;TRIM(I9)),
  "- " &amp; _xlpm.tipotxt &amp; ": *" &amp; G9 &amp; "*" &amp; CHAR(13)&amp;CHAR(10) &amp;
  "- " &amp; _xlpm.dimtxt &amp; CHAR(13)&amp;CHAR(10) &amp;
  "- *Cliente*: " &amp; J9 &amp; _xlpm.nfParte &amp; CHAR(13)&amp;CHAR(10) &amp;
  "- *Obs:* " &amp; O9 &amp; CHAR(13)&amp;CHAR(10) &amp; CHAR(10) &amp;
  "- *De*: " &amp; _xlpm.deTxt &amp; CHAR(13)&amp;CHAR(10) &amp;
  "- *Para*: " &amp; _xlpm.paraTxt &amp; CHAR(13)&amp;CHAR(10) &amp;
  "- *Ida e volta*: +/- " &amp; TEXT(((D9*1.5)/1440),"h:mm") &amp; "h | " &amp; D9 &amp; "km"
)</f>
        <v>- NÃO ENCONTRADO: *1NW4025MVKF190132*_x000D_
- _x000D_
- *Cliente*: MARLON BONILHA -NF61707 -NF 45965_x000D_
- *Obs:* MPA_x000D_
- *De*: MACPONTA AGRO DE PONTA GROSSA_x000D_
- *Para*: https://maps.app.goo.gl/F6zwbnVFirHNNuCLA_x000D_
- *Ida e volta*: +/- 8:15h | 330km</v>
      </c>
    </row>
    <row r="10" spans="1:21" ht="14.45">
      <c r="A10" s="12" t="s">
        <v>111</v>
      </c>
      <c r="B10" s="10" t="s">
        <v>55</v>
      </c>
      <c r="C10" s="97">
        <f>IFERROR((D10*1.5)/1440, "?")</f>
        <v>5.8333333333333334E-2</v>
      </c>
      <c r="D10" s="10">
        <v>56</v>
      </c>
      <c r="E10" s="98">
        <f>IFERROR((D10*6),"?")</f>
        <v>336</v>
      </c>
      <c r="F10" s="99"/>
      <c r="G10" s="10" t="s">
        <v>151</v>
      </c>
      <c r="H10" s="100">
        <v>45965</v>
      </c>
      <c r="I10" s="101">
        <v>45964</v>
      </c>
      <c r="J10" s="10" t="s">
        <v>152</v>
      </c>
      <c r="K10" s="10" t="s">
        <v>153</v>
      </c>
      <c r="L10" s="10" t="s">
        <v>148</v>
      </c>
      <c r="M10" s="10" t="s">
        <v>115</v>
      </c>
      <c r="N10" s="12" t="s">
        <v>116</v>
      </c>
      <c r="O10" s="10" t="s">
        <v>117</v>
      </c>
      <c r="P10" s="12" t="s">
        <v>154</v>
      </c>
      <c r="Q10" s="10" t="s">
        <v>155</v>
      </c>
      <c r="R10" s="10" t="s">
        <v>148</v>
      </c>
      <c r="S10" s="10" t="s">
        <v>25</v>
      </c>
      <c r="T10" s="2" t="str">
        <f t="shared" si="0"/>
        <v>5060E</v>
      </c>
      <c r="U10" s="2" t="str" cm="1">
        <f t="array" ref="U10">_xlfn.LET(
  _xlpm.ch, TRIM(SUBSTITUTE(G10,CHAR(160),"")),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IF(L10="CLIENTE", O10, IF(LEFT(L10,4)="http", L10, "MACPONTA AGRO DE "&amp;L10)),
  _xlpm.paraBase, IF(M10="CLIENTE", P10, M10),
  _xlpm.paraTxt, IF(LEFT(_xlpm.paraBase,4)="http", _xlpm.paraBase, "MACPONTA AGRO DE "&amp;_xlpm.paraBase),
  _xlpm.nfParte, IF(LEN(TRIM(I10))=0, "", " -NF "&amp;TRIM(I10)),
  "- " &amp; _xlpm.tipotxt &amp; ": *" &amp; G10 &amp; "*" &amp; CHAR(13)&amp;CHAR(10) &amp;
  "- " &amp; _xlpm.dimtxt &amp; CHAR(13)&amp;CHAR(10) &amp;
  "- *Cliente*: " &amp; J10 &amp; _xlpm.nfParte &amp; CHAR(13)&amp;CHAR(10) &amp;
  "- *Obs:* " &amp; O10 &amp; CHAR(13)&amp;CHAR(10) &amp; CHAR(10) &amp;
  "- *De*: " &amp; _xlpm.deTxt &amp; CHAR(13)&amp;CHAR(10) &amp;
  "- *Para*: " &amp; _xlpm.paraTxt &amp; CHAR(13)&amp;CHAR(10) &amp;
  "- *Ida e volta*: +/- " &amp; TEXT(((D10*1.5)/1440),"h:mm") &amp; "h | " &amp; D10 &amp; "km"
)</f>
        <v>- TRATOR: *1BM5060EES4201594*_x000D_
- A:2,60 x C:4,08 x L:1,45-2,00 x P:5.100kg_x000D_
- *Cliente*: JOAQUIM MASCARENHAS -NF278279 -NF 45964_x000D_
- *Obs:* MPA_x000D_
- *De*: MACPONTA AGRO DE PONTA GROSSA_x000D_
- *Para*: https://maps.app.goo.gl/s5tPSxgcuWhSkcKc7_x000D_
- *Ida e volta*: +/- 1:24h | 56km</v>
      </c>
    </row>
    <row r="11" spans="1:21" ht="14.45">
      <c r="A11" s="12" t="s">
        <v>111</v>
      </c>
      <c r="B11" s="10" t="s">
        <v>80</v>
      </c>
      <c r="C11" s="97">
        <f>IFERROR((D11*1.5)/1440, "?")</f>
        <v>0.19270833333333334</v>
      </c>
      <c r="D11" s="10">
        <v>185</v>
      </c>
      <c r="E11" s="98"/>
      <c r="F11" s="99">
        <v>1295</v>
      </c>
      <c r="G11" s="10" t="s">
        <v>156</v>
      </c>
      <c r="H11" s="100">
        <v>45965</v>
      </c>
      <c r="I11" s="101">
        <v>45965</v>
      </c>
      <c r="J11" s="10" t="s">
        <v>113</v>
      </c>
      <c r="K11" s="10" t="s">
        <v>157</v>
      </c>
      <c r="L11" s="10" t="s">
        <v>115</v>
      </c>
      <c r="M11" s="10" t="s">
        <v>49</v>
      </c>
      <c r="N11" s="12" t="s">
        <v>125</v>
      </c>
      <c r="O11" s="11" t="s">
        <v>158</v>
      </c>
      <c r="P11" s="12" t="s">
        <v>117</v>
      </c>
      <c r="Q11" s="10" t="s">
        <v>159</v>
      </c>
      <c r="R11" s="10" t="s">
        <v>49</v>
      </c>
      <c r="S11" s="10" t="s">
        <v>25</v>
      </c>
      <c r="T11" s="2" t="str">
        <f t="shared" si="0"/>
        <v>5060E</v>
      </c>
      <c r="U11" s="2" t="str" cm="1">
        <f t="array" ref="U11">_xlfn.LET(
  _xlpm.ch, TRIM(SUBSTITUTE(G11,CHAR(160),"")),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IF(L11="CLIENTE", O11, IF(LEFT(L11,4)="http", L11, "MACPONTA AGRO DE "&amp;L11)),
  _xlpm.paraBase, IF(M11="CLIENTE", P11, M11),
  _xlpm.paraTxt, IF(LEFT(_xlpm.paraBase,4)="http", _xlpm.paraBase, "MACPONTA AGRO DE "&amp;_xlpm.paraBase),
  _xlpm.nfParte, IF(LEN(TRIM(I11))=0, "", " -NF "&amp;TRIM(I11)),
  "- " &amp; _xlpm.tipotxt &amp; ": *" &amp; G11 &amp; "*" &amp; CHAR(13)&amp;CHAR(10) &amp;
  "- " &amp; _xlpm.dimtxt &amp; CHAR(13)&amp;CHAR(10) &amp;
  "- *Cliente*: " &amp; J11 &amp; _xlpm.nfParte &amp; CHAR(13)&amp;CHAR(10) &amp;
  "- *Obs:* " &amp; O11 &amp; CHAR(13)&amp;CHAR(10) &amp; CHAR(10) &amp;
  "- *De*: " &amp; _xlpm.deTxt &amp; CHAR(13)&amp;CHAR(10) &amp;
  "- *Para*: " &amp; _xlpm.paraTxt &amp; CHAR(13)&amp;CHAR(10) &amp;
  "- *Ida e volta*: +/- " &amp; TEXT(((D11*1.5)/1440),"h:mm") &amp; "h | " &amp; D11 &amp; "km"
)</f>
        <v>- TRATOR: *1BM5060EAP4104558*_x000D_
- A:2,60 x C:4,08 x L:1,45-2,00 x P:5.100kg_x000D_
- *Cliente*: MANUTENÇÃO → CLIENTE -NF 45965_x000D_
- *Obs:* https://maps.app.goo.gl/PXTmMqoYPtx48Gex6_x000D_
- *De*: https://maps.app.goo.gl/PXTmMqoYPtx48Gex6_x000D_
- *Para*: MACPONTA AGRO DE ARAPOTI_x000D_
- *Ida e volta*: +/- 4:37h | 185km</v>
      </c>
    </row>
    <row r="12" spans="1:21" ht="14.45">
      <c r="A12" s="12" t="s">
        <v>111</v>
      </c>
      <c r="B12" s="10" t="s">
        <v>65</v>
      </c>
      <c r="C12" s="97">
        <f>IFERROR((D12*1.5)/1440, "?")</f>
        <v>5.3124999999999999E-2</v>
      </c>
      <c r="D12" s="10">
        <v>51</v>
      </c>
      <c r="E12" s="98">
        <f>IFERROR((D12*6),"?")</f>
        <v>306</v>
      </c>
      <c r="F12" s="99"/>
      <c r="G12" s="10" t="s">
        <v>160</v>
      </c>
      <c r="H12" s="100">
        <v>45966</v>
      </c>
      <c r="I12" s="101">
        <v>45967</v>
      </c>
      <c r="J12" s="10" t="s">
        <v>113</v>
      </c>
      <c r="K12" s="10" t="s">
        <v>161</v>
      </c>
      <c r="L12" s="10" t="s">
        <v>148</v>
      </c>
      <c r="M12" s="10" t="s">
        <v>115</v>
      </c>
      <c r="N12" s="12" t="s">
        <v>116</v>
      </c>
      <c r="O12" s="10" t="s">
        <v>117</v>
      </c>
      <c r="P12" s="12" t="s">
        <v>162</v>
      </c>
      <c r="Q12" s="10" t="s">
        <v>163</v>
      </c>
      <c r="R12" s="10" t="s">
        <v>148</v>
      </c>
      <c r="S12" s="10" t="s">
        <v>25</v>
      </c>
      <c r="T12" s="2" t="str">
        <f t="shared" si="0"/>
        <v>7215C</v>
      </c>
      <c r="U12" s="2" t="str" cm="1">
        <f t="array" ref="U12">_xlfn.LET(
  _xlpm.ch, TRIM(SUBSTITUTE(G12,CHAR(160),"")),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IF(L12="CLIENTE", O12, IF(LEFT(L12,4)="http", L12, "MACPONTA AGRO DE "&amp;L12)),
  _xlpm.paraBase, IF(M12="CLIENTE", P12, M12),
  _xlpm.paraTxt, IF(LEFT(_xlpm.paraBase,4)="http", _xlpm.paraBase, "MACPONTA AGRO DE "&amp;_xlpm.paraBase),
  _xlpm.nfParte, IF(LEN(TRIM(I12))=0, "", " -NF "&amp;TRIM(I12)),
  "- " &amp; _xlpm.tipotxt &amp; ": *" &amp; G12 &amp; "*" &amp; CHAR(13)&amp;CHAR(10) &amp;
  "- " &amp; _xlpm.dimtxt &amp; CHAR(13)&amp;CHAR(10) &amp;
  "- *Cliente*: " &amp; J12 &amp; _xlpm.nfParte &amp; CHAR(13)&amp;CHAR(10) &amp;
  "- *Obs:* " &amp; O12 &amp; CHAR(13)&amp;CHAR(10) &amp; CHAR(10) &amp;
  "- *De*: " &amp; _xlpm.deTxt &amp; CHAR(13)&amp;CHAR(10) &amp;
  "- *Para*: " &amp; _xlpm.paraTxt &amp; CHAR(13)&amp;CHAR(10) &amp;
  "- *Ida e volta*: +/- " &amp; TEXT(((D12*1.5)/1440),"h:mm") &amp; "h | " &amp; D12 &amp; "km"
)</f>
        <v>- NÃO ENCONTRADO: *1BM7215CVR3000057*_x000D_
- _x000D_
- *Cliente*: MANUTENÇÃO → CLIENTE -NF 45967_x000D_
- *Obs:* MPA_x000D_
- *De*: MACPONTA AGRO DE PONTA GROSSA_x000D_
- *Para*: https://maps.app.goo.gl/pQZUg9LPg5sgdyLs8_x000D_
- *Ida e volta*: +/- 1:16h | 51km</v>
      </c>
    </row>
    <row r="13" spans="1:21" ht="14.45">
      <c r="A13" s="12" t="s">
        <v>111</v>
      </c>
      <c r="B13" s="10" t="s">
        <v>55</v>
      </c>
      <c r="C13" s="97">
        <f>IFERROR((D13*1.5)/1440, "?")</f>
        <v>2.2916666666666665E-2</v>
      </c>
      <c r="D13" s="10">
        <v>22</v>
      </c>
      <c r="E13" s="98">
        <f>IFERROR((D13*6),"?")</f>
        <v>132</v>
      </c>
      <c r="F13" s="99"/>
      <c r="G13" s="10" t="s">
        <v>164</v>
      </c>
      <c r="H13" s="100">
        <v>45966</v>
      </c>
      <c r="I13" s="101">
        <v>45967</v>
      </c>
      <c r="J13" s="10" t="s">
        <v>113</v>
      </c>
      <c r="K13" s="10" t="s">
        <v>165</v>
      </c>
      <c r="L13" s="10" t="s">
        <v>148</v>
      </c>
      <c r="M13" s="10" t="s">
        <v>115</v>
      </c>
      <c r="N13" s="12" t="s">
        <v>116</v>
      </c>
      <c r="O13" s="10" t="s">
        <v>117</v>
      </c>
      <c r="P13" s="12" t="s">
        <v>166</v>
      </c>
      <c r="Q13" s="10" t="s">
        <v>167</v>
      </c>
      <c r="R13" s="10" t="s">
        <v>148</v>
      </c>
      <c r="S13" s="10" t="s">
        <v>24</v>
      </c>
      <c r="T13" s="2" t="str">
        <f t="shared" si="0"/>
        <v>6110</v>
      </c>
      <c r="U13" s="2" t="str" cm="1">
        <f t="array" ref="U13">_xlfn.LET(
  _xlpm.ch, TRIM(SUBSTITUTE(G13,CHAR(160),"")),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IF(L13="CLIENTE", O13, IF(LEFT(L13,4)="http", L13, "MACPONTA AGRO DE "&amp;L13)),
  _xlpm.paraBase, IF(M13="CLIENTE", P13, M13),
  _xlpm.paraTxt, IF(LEFT(_xlpm.paraBase,4)="http", _xlpm.paraBase, "MACPONTA AGRO DE "&amp;_xlpm.paraBase),
  _xlpm.nfParte, IF(LEN(TRIM(I13))=0, "", " -NF "&amp;TRIM(I13)),
  "- " &amp; _xlpm.tipotxt &amp; ": *" &amp; G13 &amp; "*" &amp; CHAR(13)&amp;CHAR(10) &amp;
  "- " &amp; _xlpm.dimtxt &amp; CHAR(13)&amp;CHAR(10) &amp;
  "- *Cliente*: " &amp; J13 &amp; _xlpm.nfParte &amp; CHAR(13)&amp;CHAR(10) &amp;
  "- *Obs:* " &amp; O13 &amp; CHAR(13)&amp;CHAR(10) &amp; CHAR(10) &amp;
  "- *De*: " &amp; _xlpm.deTxt &amp; CHAR(13)&amp;CHAR(10) &amp;
  "- *Para*: " &amp; _xlpm.paraTxt &amp; CHAR(13)&amp;CHAR(10) &amp;
  "- *Ida e volta*: +/- " &amp; TEXT(((D13*1.5)/1440),"h:mm") &amp; "h | " &amp; D13 &amp; "km"
)</f>
        <v>- NÃO ENCONTRADO: *1P06110DABA021136*_x000D_
- _x000D_
- *Cliente*: MANUTENÇÃO → CLIENTE -NF 45967_x000D_
- *Obs:* MPA_x000D_
- *De*: MACPONTA AGRO DE PONTA GROSSA_x000D_
- *Para*: https://maps.app.goo.gl/zzmzdRt4m8WXMVjg9_x000D_
- *Ida e volta*: +/- 0:33h | 22km</v>
      </c>
    </row>
    <row r="14" spans="1:21" ht="14.45">
      <c r="A14" s="12" t="s">
        <v>111</v>
      </c>
      <c r="B14" s="10" t="s">
        <v>48</v>
      </c>
      <c r="C14" s="97">
        <f>IFERROR((D14*1.5)/1440, "?")</f>
        <v>0.16666666666666666</v>
      </c>
      <c r="D14" s="10">
        <v>160</v>
      </c>
      <c r="E14" s="98"/>
      <c r="F14" s="99">
        <v>1458</v>
      </c>
      <c r="G14" s="10" t="s">
        <v>168</v>
      </c>
      <c r="H14" s="100">
        <v>45966</v>
      </c>
      <c r="I14" s="101">
        <v>45966</v>
      </c>
      <c r="J14" s="10" t="s">
        <v>169</v>
      </c>
      <c r="K14" s="10" t="s">
        <v>130</v>
      </c>
      <c r="L14" s="10" t="s">
        <v>131</v>
      </c>
      <c r="M14" s="10" t="s">
        <v>115</v>
      </c>
      <c r="N14" s="12" t="s">
        <v>116</v>
      </c>
      <c r="O14" s="10" t="s">
        <v>117</v>
      </c>
      <c r="P14" s="12" t="s">
        <v>170</v>
      </c>
      <c r="Q14" s="10" t="s">
        <v>171</v>
      </c>
      <c r="R14" s="10" t="s">
        <v>131</v>
      </c>
      <c r="S14" s="10" t="s">
        <v>25</v>
      </c>
      <c r="T14" s="2" t="str">
        <f t="shared" si="0"/>
        <v>6135M</v>
      </c>
      <c r="U14" s="2" t="str" cm="1">
        <f t="array" ref="U14">_xlfn.LET(
  _xlpm.ch, TRIM(SUBSTITUTE(G14,CHAR(160),"")),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IF(L14="CLIENTE", O14, IF(LEFT(L14,4)="http", L14, "MACPONTA AGRO DE "&amp;L14)),
  _xlpm.paraBase, IF(M14="CLIENTE", P14, M14),
  _xlpm.paraTxt, IF(LEFT(_xlpm.paraBase,4)="http", _xlpm.paraBase, "MACPONTA AGRO DE "&amp;_xlpm.paraBase),
  _xlpm.nfParte, IF(LEN(TRIM(I14))=0, "", " -NF "&amp;TRIM(I14)),
  "- " &amp; _xlpm.tipotxt &amp; ": *" &amp; G14 &amp; "*" &amp; CHAR(13)&amp;CHAR(10) &amp;
  "- " &amp; _xlpm.dimtxt &amp; CHAR(13)&amp;CHAR(10) &amp;
  "- *Cliente*: " &amp; J14 &amp; _xlpm.nfParte &amp; CHAR(13)&amp;CHAR(10) &amp;
  "- *Obs:* " &amp; O14 &amp; CHAR(13)&amp;CHAR(10) &amp; CHAR(10) &amp;
  "- *De*: " &amp; _xlpm.deTxt &amp; CHAR(13)&amp;CHAR(10) &amp;
  "- *Para*: " &amp; _xlpm.paraTxt &amp; CHAR(13)&amp;CHAR(10) &amp;
  "- *Ida e volta*: +/- " &amp; TEXT(((D14*1.5)/1440),"h:mm") &amp; "h | " &amp; D14 &amp; "km"
)</f>
        <v>- TRATOR: *1BM6135MASH000623*_x000D_
- A:2,28 x C:4,56 x L:2,87-3,45 x P:7.500kg_x000D_
- *Cliente*: VLADEMIR STORTI -NF107917 -NF 45966_x000D_
- *Obs:* MPA_x000D_
- *De*: MACPONTA AGRO DE GUARAPUAVA_x000D_
- *Para*: https://maps.app.goo.gl/giUyNXP6omVdANbb6_x000D_
- *Ida e volta*: +/- 4:00h | 160km</v>
      </c>
    </row>
    <row r="15" spans="1:21" ht="14.45">
      <c r="A15" s="12" t="s">
        <v>111</v>
      </c>
      <c r="B15" s="10" t="s">
        <v>80</v>
      </c>
      <c r="C15" s="97">
        <f>IFERROR((D15*1.5)/1440, "?")</f>
        <v>0.13541666666666666</v>
      </c>
      <c r="D15" s="10">
        <v>130</v>
      </c>
      <c r="E15" s="98"/>
      <c r="F15" s="99">
        <v>975</v>
      </c>
      <c r="G15" s="10" t="s">
        <v>172</v>
      </c>
      <c r="H15" s="100">
        <v>45966</v>
      </c>
      <c r="I15" s="101">
        <v>45966</v>
      </c>
      <c r="J15" s="10" t="s">
        <v>173</v>
      </c>
      <c r="K15" s="10" t="s">
        <v>174</v>
      </c>
      <c r="L15" s="10" t="s">
        <v>49</v>
      </c>
      <c r="M15" s="10" t="s">
        <v>115</v>
      </c>
      <c r="N15" s="12" t="s">
        <v>116</v>
      </c>
      <c r="O15" s="10" t="s">
        <v>117</v>
      </c>
      <c r="P15" s="13" t="s">
        <v>175</v>
      </c>
      <c r="Q15" s="10" t="s">
        <v>176</v>
      </c>
      <c r="R15" s="10" t="s">
        <v>49</v>
      </c>
      <c r="S15" s="10" t="s">
        <v>25</v>
      </c>
      <c r="T15" s="2" t="str">
        <f t="shared" si="0"/>
        <v>5080E</v>
      </c>
      <c r="U15" s="2" t="str" cm="1">
        <f t="array" ref="U15">_xlfn.LET(
  _xlpm.ch, TRIM(SUBSTITUTE(G15,CHAR(160),"")),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IF(L15="CLIENTE", O15, IF(LEFT(L15,4)="http", L15, "MACPONTA AGRO DE "&amp;L15)),
  _xlpm.paraBase, IF(M15="CLIENTE", P15, M15),
  _xlpm.paraTxt, IF(LEFT(_xlpm.paraBase,4)="http", _xlpm.paraBase, "MACPONTA AGRO DE "&amp;_xlpm.paraBase),
  _xlpm.nfParte, IF(LEN(TRIM(I15))=0, "", " -NF "&amp;TRIM(I15)),
  "- " &amp; _xlpm.tipotxt &amp; ": *" &amp; G15 &amp; "*" &amp; CHAR(13)&amp;CHAR(10) &amp;
  "- " &amp; _xlpm.dimtxt &amp; CHAR(13)&amp;CHAR(10) &amp;
  "- *Cliente*: " &amp; J15 &amp; _xlpm.nfParte &amp; CHAR(13)&amp;CHAR(10) &amp;
  "- *Obs:* " &amp; O15 &amp; CHAR(13)&amp;CHAR(10) &amp; CHAR(10) &amp;
  "- *De*: " &amp; _xlpm.deTxt &amp; CHAR(13)&amp;CHAR(10) &amp;
  "- *Para*: " &amp; _xlpm.paraTxt &amp; CHAR(13)&amp;CHAR(10) &amp;
  "- *Ida e volta*: +/- " &amp; TEXT(((D15*1.5)/1440),"h:mm") &amp; "h | " &amp; D15 &amp; "km"
)</f>
        <v>- TRATOR: *1BM5080EKS4203735*_x000D_
- A:2,60 x C:4,08 x L:1,45-2,00 x P:5.100kg_x000D_
- *Cliente*: VERIDIANA POSS DE LIMA -NF61217 -NF 45966_x000D_
- *Obs:* MPA_x000D_
- *De*: MACPONTA AGRO DE ARAPOTI_x000D_
- *Para*: https://maps.app.goo.gl/oLpnxFw9huVdueSf7_x000D_
- *Ida e volta*: +/- 3:15h | 130km</v>
      </c>
    </row>
    <row r="16" spans="1:21" ht="14.45">
      <c r="A16" s="12" t="s">
        <v>177</v>
      </c>
      <c r="B16" s="10" t="s">
        <v>65</v>
      </c>
      <c r="C16" s="97">
        <f>IFERROR((D16*1.5)/1440, "?")</f>
        <v>0.15625</v>
      </c>
      <c r="D16" s="10">
        <v>150</v>
      </c>
      <c r="E16" s="98">
        <v>500</v>
      </c>
      <c r="F16" s="99"/>
      <c r="G16" s="10" t="s">
        <v>178</v>
      </c>
      <c r="H16" s="100">
        <v>45966</v>
      </c>
      <c r="I16" s="101">
        <v>45966</v>
      </c>
      <c r="J16" s="10" t="s">
        <v>179</v>
      </c>
      <c r="K16" s="10" t="s">
        <v>153</v>
      </c>
      <c r="L16" s="10" t="s">
        <v>148</v>
      </c>
      <c r="M16" s="10" t="s">
        <v>115</v>
      </c>
      <c r="N16" s="12" t="s">
        <v>116</v>
      </c>
      <c r="O16" s="10" t="s">
        <v>117</v>
      </c>
      <c r="P16" s="12" t="s">
        <v>180</v>
      </c>
      <c r="Q16" s="10" t="s">
        <v>181</v>
      </c>
      <c r="R16" s="10" t="s">
        <v>148</v>
      </c>
      <c r="S16" s="10" t="s">
        <v>23</v>
      </c>
      <c r="T16" s="2" t="str">
        <f t="shared" si="0"/>
        <v>0630</v>
      </c>
      <c r="U16" s="2" t="str" cm="1">
        <f t="array" ref="U16">_xlfn.LET(
  _xlpm.ch, TRIM(SUBSTITUTE(G16,CHAR(160),"")),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IF(L16="CLIENTE", O16, IF(LEFT(L16,4)="http", L16, "MACPONTA AGRO DE "&amp;L16)),
  _xlpm.paraBase, IF(M16="CLIENTE", P16, M16),
  _xlpm.paraTxt, IF(LEFT(_xlpm.paraBase,4)="http", _xlpm.paraBase, "MACPONTA AGRO DE "&amp;_xlpm.paraBase),
  _xlpm.nfParte, IF(LEN(TRIM(I16))=0, "", " -NF "&amp;TRIM(I16)),
  "- " &amp; _xlpm.tipotxt &amp; ": *" &amp; G16 &amp; "*" &amp; CHAR(13)&amp;CHAR(10) &amp;
  "- " &amp; _xlpm.dimtxt &amp; CHAR(13)&amp;CHAR(10) &amp;
  "- *Cliente*: " &amp; J16 &amp; _xlpm.nfParte &amp; CHAR(13)&amp;CHAR(10) &amp;
  "- *Obs:* " &amp; O16 &amp; CHAR(13)&amp;CHAR(10) &amp; CHAR(10) &amp;
  "- *De*: " &amp; _xlpm.deTxt &amp; CHAR(13)&amp;CHAR(10) &amp;
  "- *Para*: " &amp; _xlpm.paraTxt &amp; CHAR(13)&amp;CHAR(10) &amp;
  "- *Ida e volta*: +/- " &amp; TEXT(((D16*1.5)/1440),"h:mm") &amp; "h | " &amp; D16 &amp; "km"
)</f>
        <v>- NÃO ENCONTRADO: *1CQ0630AHR0155127*_x000D_
- _x000D_
- *Cliente*: MARCELO RIBEIRO DE NARDI -NF278794 -NF 45966_x000D_
- *Obs:* MPA_x000D_
- *De*: MACPONTA AGRO DE PONTA GROSSA_x000D_
- *Para*: https://maps.app.goo.gl/2DJawZBMR4yqycss9_x000D_
- *Ida e volta*: +/- 3:45h | 150km</v>
      </c>
    </row>
    <row r="17" spans="1:21" ht="14.45">
      <c r="A17" s="12" t="s">
        <v>177</v>
      </c>
      <c r="B17" s="10" t="s">
        <v>65</v>
      </c>
      <c r="C17" s="97">
        <f>IFERROR((D17*1.5)/1440, "?")</f>
        <v>0.15625</v>
      </c>
      <c r="D17" s="10">
        <v>150</v>
      </c>
      <c r="E17" s="98">
        <v>500</v>
      </c>
      <c r="F17" s="99"/>
      <c r="G17" s="10" t="s">
        <v>182</v>
      </c>
      <c r="H17" s="100">
        <v>45966</v>
      </c>
      <c r="I17" s="101">
        <v>45966</v>
      </c>
      <c r="J17" s="10" t="s">
        <v>179</v>
      </c>
      <c r="K17" s="10" t="s">
        <v>153</v>
      </c>
      <c r="L17" s="10" t="s">
        <v>148</v>
      </c>
      <c r="M17" s="10" t="s">
        <v>115</v>
      </c>
      <c r="N17" s="12" t="s">
        <v>116</v>
      </c>
      <c r="O17" s="10" t="s">
        <v>117</v>
      </c>
      <c r="P17" s="12" t="s">
        <v>180</v>
      </c>
      <c r="Q17" s="10" t="s">
        <v>181</v>
      </c>
      <c r="R17" s="10" t="s">
        <v>148</v>
      </c>
      <c r="S17" s="10" t="s">
        <v>21</v>
      </c>
      <c r="T17" s="2" t="str">
        <f t="shared" si="0"/>
        <v>S550</v>
      </c>
      <c r="U17" s="2" t="str" cm="1">
        <f t="array" ref="U17">_xlfn.LET(
  _xlpm.ch, TRIM(SUBSTITUTE(G17,CHAR(160),"")),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IF(L17="CLIENTE", O17, IF(LEFT(L17,4)="http", L17, "MACPONTA AGRO DE "&amp;L17)),
  _xlpm.paraBase, IF(M17="CLIENTE", P17, M17),
  _xlpm.paraTxt, IF(LEFT(_xlpm.paraBase,4)="http", _xlpm.paraBase, "MACPONTA AGRO DE "&amp;_xlpm.paraBase),
  _xlpm.nfParte, IF(LEN(TRIM(I17))=0, "", " -NF "&amp;TRIM(I17)),
  "- " &amp; _xlpm.tipotxt &amp; ": *" &amp; G17 &amp; "*" &amp; CHAR(13)&amp;CHAR(10) &amp;
  "- " &amp; _xlpm.dimtxt &amp; CHAR(13)&amp;CHAR(10) &amp;
  "- *Cliente*: " &amp; J17 &amp; _xlpm.nfParte &amp; CHAR(13)&amp;CHAR(10) &amp;
  "- *Obs:* " &amp; O17 &amp; CHAR(13)&amp;CHAR(10) &amp; CHAR(10) &amp;
  "- *De*: " &amp; _xlpm.deTxt &amp; CHAR(13)&amp;CHAR(10) &amp;
  "- *Para*: " &amp; _xlpm.paraTxt &amp; CHAR(13)&amp;CHAR(10) &amp;
  "- *Ida e volta*: +/- " &amp; TEXT(((D17*1.5)/1440),"h:mm") &amp; "h | " &amp; D17 &amp; "km"
)</f>
        <v>- COLHEITADEIRA: *1CQS550AER0155105*_x000D_
- A:3,80 x C:10,00 x L:3,70-4,20 x P:15.938kg_x000D_
- *Cliente*: MARCELO RIBEIRO DE NARDI -NF278794 -NF 45966_x000D_
- *Obs:* MPA_x000D_
- *De*: MACPONTA AGRO DE PONTA GROSSA_x000D_
- *Para*: https://maps.app.goo.gl/2DJawZBMR4yqycss9_x000D_
- *Ida e volta*: +/- 3:45h | 150km</v>
      </c>
    </row>
    <row r="18" spans="1:21" ht="14.45">
      <c r="A18" s="12" t="s">
        <v>111</v>
      </c>
      <c r="B18" s="10" t="s">
        <v>55</v>
      </c>
      <c r="C18" s="97">
        <f>IFERROR((D18*1.5)/1440, "?")</f>
        <v>0.25520833333333331</v>
      </c>
      <c r="D18" s="10">
        <v>245</v>
      </c>
      <c r="E18" s="98">
        <f>IFERROR((D18*6),"?")</f>
        <v>1470</v>
      </c>
      <c r="F18" s="99"/>
      <c r="G18" s="10" t="s">
        <v>183</v>
      </c>
      <c r="H18" s="100">
        <v>45967</v>
      </c>
      <c r="I18" s="101">
        <v>45967</v>
      </c>
      <c r="J18" s="10" t="s">
        <v>184</v>
      </c>
      <c r="K18" s="10" t="s">
        <v>185</v>
      </c>
      <c r="L18" s="10" t="s">
        <v>58</v>
      </c>
      <c r="M18" s="10" t="s">
        <v>115</v>
      </c>
      <c r="N18" s="12" t="s">
        <v>116</v>
      </c>
      <c r="O18" s="10" t="s">
        <v>117</v>
      </c>
      <c r="P18" s="13" t="s">
        <v>186</v>
      </c>
      <c r="Q18" s="10" t="s">
        <v>187</v>
      </c>
      <c r="R18" s="10" t="s">
        <v>58</v>
      </c>
      <c r="S18" s="10" t="s">
        <v>25</v>
      </c>
      <c r="T18" s="2" t="str">
        <f t="shared" si="0"/>
        <v>6135M</v>
      </c>
      <c r="U18" s="2" t="str" cm="1">
        <f t="array" ref="U18">_xlfn.LET(
  _xlpm.ch, TRIM(SUBSTITUTE(G18,CHAR(160),"")),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IF(L18="CLIENTE", O18, IF(LEFT(L18,4)="http", L18, "MACPONTA AGRO DE "&amp;L18)),
  _xlpm.paraBase, IF(M18="CLIENTE", P18, M18),
  _xlpm.paraTxt, IF(LEFT(_xlpm.paraBase,4)="http", _xlpm.paraBase, "MACPONTA AGRO DE "&amp;_xlpm.paraBase),
  _xlpm.nfParte, IF(LEN(TRIM(I18))=0, "", " -NF "&amp;TRIM(I18)),
  "- " &amp; _xlpm.tipotxt &amp; ": *" &amp; G18 &amp; "*" &amp; CHAR(13)&amp;CHAR(10) &amp;
  "- " &amp; _xlpm.dimtxt &amp; CHAR(13)&amp;CHAR(10) &amp;
  "- *Cliente*: " &amp; J18 &amp; _xlpm.nfParte &amp; CHAR(13)&amp;CHAR(10) &amp;
  "- *Obs:* " &amp; O18 &amp; CHAR(13)&amp;CHAR(10) &amp; CHAR(10) &amp;
  "- *De*: " &amp; _xlpm.deTxt &amp; CHAR(13)&amp;CHAR(10) &amp;
  "- *Para*: " &amp; _xlpm.paraTxt &amp; CHAR(13)&amp;CHAR(10) &amp;
  "- *Ida e volta*: +/- " &amp; TEXT(((D18*1.5)/1440),"h:mm") &amp; "h | " &amp; D18 &amp; "km"
)</f>
        <v>- TRATOR: *1BM6135MCSH000563*_x000D_
- A:2,28 x C:4,56 x L:2,87-3,45 x P:7.500kg_x000D_
- *Cliente*: WILLEM HENDRIK VAN DE RIET -NF109953 -NF 45967_x000D_
- *Obs:* MPA_x000D_
- *De*: MACPONTA AGRO DE IRATI_x000D_
- *Para*: https://maps.app.goo.gl/B5W3gFAkVjKrxcms8_x000D_
- *Ida e volta*: +/- 6:07h | 245km</v>
      </c>
    </row>
    <row r="19" spans="1:21" ht="14.45">
      <c r="A19" s="12" t="s">
        <v>111</v>
      </c>
      <c r="B19" s="10" t="s">
        <v>65</v>
      </c>
      <c r="C19" s="97">
        <f>IFERROR((D19*1.5)/1440, "?")</f>
        <v>0.18229166666666666</v>
      </c>
      <c r="D19" s="10">
        <v>175</v>
      </c>
      <c r="E19" s="98">
        <f>IFERROR((D19*6),"?")</f>
        <v>1050</v>
      </c>
      <c r="F19" s="99"/>
      <c r="G19" s="10" t="s">
        <v>188</v>
      </c>
      <c r="H19" s="100">
        <v>45968</v>
      </c>
      <c r="I19" s="101">
        <v>45969</v>
      </c>
      <c r="J19" s="10" t="s">
        <v>189</v>
      </c>
      <c r="K19" s="10" t="s">
        <v>161</v>
      </c>
      <c r="L19" s="10" t="s">
        <v>148</v>
      </c>
      <c r="M19" s="10" t="s">
        <v>115</v>
      </c>
      <c r="N19" s="12" t="s">
        <v>116</v>
      </c>
      <c r="O19" s="10" t="s">
        <v>117</v>
      </c>
      <c r="P19" s="12" t="s">
        <v>190</v>
      </c>
      <c r="Q19" s="10" t="s">
        <v>191</v>
      </c>
      <c r="R19" s="10" t="s">
        <v>148</v>
      </c>
      <c r="S19" s="10" t="s">
        <v>21</v>
      </c>
      <c r="T19" s="2" t="str">
        <f t="shared" si="0"/>
        <v>S680</v>
      </c>
      <c r="U19" s="2" t="str" cm="1">
        <f t="array" ref="U19">_xlfn.LET(
  _xlpm.ch, TRIM(SUBSTITUTE(G19,CHAR(160),"")),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IF(L19="CLIENTE", O19, IF(LEFT(L19,4)="http", L19, "MACPONTA AGRO DE "&amp;L19)),
  _xlpm.paraBase, IF(M19="CLIENTE", P19, M19),
  _xlpm.paraTxt, IF(LEFT(_xlpm.paraBase,4)="http", _xlpm.paraBase, "MACPONTA AGRO DE "&amp;_xlpm.paraBase),
  _xlpm.nfParte, IF(LEN(TRIM(I19))=0, "", " -NF "&amp;TRIM(I19)),
  "- " &amp; _xlpm.tipotxt &amp; ": *" &amp; G19 &amp; "*" &amp; CHAR(13)&amp;CHAR(10) &amp;
  "- " &amp; _xlpm.dimtxt &amp; CHAR(13)&amp;CHAR(10) &amp;
  "- *Cliente*: " &amp; J19 &amp; _xlpm.nfParte &amp; CHAR(13)&amp;CHAR(10) &amp;
  "- *Obs:* " &amp; O19 &amp; CHAR(13)&amp;CHAR(10) &amp; CHAR(10) &amp;
  "- *De*: " &amp; _xlpm.deTxt &amp; CHAR(13)&amp;CHAR(10) &amp;
  "- *Para*: " &amp; _xlpm.paraTxt &amp; CHAR(13)&amp;CHAR(10) &amp;
  "- *Ida e volta*: +/- " &amp; TEXT(((D19*1.5)/1440),"h:mm") &amp; "h | " &amp; D19 &amp; "km"
)</f>
        <v>- COLHEITADEIRA: *1CQS680ATF0110209*_x000D_
- A:3,98 x C:12,10 x L:3,50-5,43 x P:21.921kg_x000D_
- *Cliente*: DOUGLAS FANCHIN TAQUES FONSECA -NF278835 -NF 45969_x000D_
- *Obs:* MPA_x000D_
- *De*: MACPONTA AGRO DE PONTA GROSSA_x000D_
- *Para*: https://maps.app.goo.gl/GfTKV558G2iXHWmg8_x000D_
- *Ida e volta*: +/- 4:22h | 175km</v>
      </c>
    </row>
    <row r="20" spans="1:21" ht="14.45">
      <c r="A20" s="12" t="s">
        <v>111</v>
      </c>
      <c r="B20" s="10" t="s">
        <v>65</v>
      </c>
      <c r="C20" s="97">
        <f>IFERROR((D20*1.5)/1440, "?")</f>
        <v>0.18229166666666666</v>
      </c>
      <c r="D20" s="10">
        <v>175</v>
      </c>
      <c r="E20" s="98">
        <f>IFERROR((D20*6),"?")</f>
        <v>1050</v>
      </c>
      <c r="F20" s="99"/>
      <c r="G20" s="10" t="s">
        <v>192</v>
      </c>
      <c r="H20" s="100">
        <v>45968</v>
      </c>
      <c r="I20" s="101">
        <v>45968</v>
      </c>
      <c r="J20" s="10" t="s">
        <v>113</v>
      </c>
      <c r="K20" s="10" t="s">
        <v>193</v>
      </c>
      <c r="L20" s="10" t="s">
        <v>148</v>
      </c>
      <c r="M20" s="10" t="s">
        <v>115</v>
      </c>
      <c r="N20" s="12" t="s">
        <v>116</v>
      </c>
      <c r="O20" s="10" t="s">
        <v>117</v>
      </c>
      <c r="P20" s="13" t="s">
        <v>194</v>
      </c>
      <c r="Q20" s="10" t="s">
        <v>195</v>
      </c>
      <c r="R20" s="10" t="s">
        <v>148</v>
      </c>
      <c r="S20" s="10" t="s">
        <v>25</v>
      </c>
      <c r="T20" s="2" t="str">
        <f t="shared" si="0"/>
        <v>6180J</v>
      </c>
      <c r="U20" s="2" t="str" cm="1">
        <f t="array" ref="U20">_xlfn.LET(
  _xlpm.ch, TRIM(SUBSTITUTE(G20,CHAR(160),"")),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IF(L20="CLIENTE", O20, IF(LEFT(L20,4)="http", L20, "MACPONTA AGRO DE "&amp;L20)),
  _xlpm.paraBase, IF(M20="CLIENTE", P20, M20),
  _xlpm.paraTxt, IF(LEFT(_xlpm.paraBase,4)="http", _xlpm.paraBase, "MACPONTA AGRO DE "&amp;_xlpm.paraBase),
  _xlpm.nfParte, IF(LEN(TRIM(I20))=0, "", " -NF "&amp;TRIM(I20)),
  "- " &amp; _xlpm.tipotxt &amp; ": *" &amp; G20 &amp; "*" &amp; CHAR(13)&amp;CHAR(10) &amp;
  "- " &amp; _xlpm.dimtxt &amp; CHAR(13)&amp;CHAR(10) &amp;
  "- *Cliente*: " &amp; J20 &amp; _xlpm.nfParte &amp; CHAR(13)&amp;CHAR(10) &amp;
  "- *Obs:* " &amp; O20 &amp; CHAR(13)&amp;CHAR(10) &amp; CHAR(10) &amp;
  "- *De*: " &amp; _xlpm.deTxt &amp; CHAR(13)&amp;CHAR(10) &amp;
  "- *Para*: " &amp; _xlpm.paraTxt &amp; CHAR(13)&amp;CHAR(10) &amp;
  "- *Ida e volta*: +/- " &amp; TEXT(((D20*1.5)/1440),"h:mm") &amp; "h | " &amp; D20 &amp; "km"
)</f>
        <v>- NÃO ENCONTRADO: *1BM6180JKDD001849*_x000D_
- _x000D_
- *Cliente*: MANUTENÇÃO → CLIENTE -NF 45968_x000D_
- *Obs:* MPA_x000D_
- *De*: MACPONTA AGRO DE PONTA GROSSA_x000D_
- *Para*: https://maps.app.goo.gl/Yk2FrxveQ1BNpLmN8_x000D_
- *Ida e volta*: +/- 4:22h | 175km</v>
      </c>
    </row>
    <row r="21" spans="1:21" ht="14.45">
      <c r="A21" s="12" t="s">
        <v>111</v>
      </c>
      <c r="B21" s="10" t="s">
        <v>48</v>
      </c>
      <c r="C21" s="97">
        <f>IFERROR((D21*1.5)/1440, "?")</f>
        <v>0.34375</v>
      </c>
      <c r="D21" s="10">
        <v>330</v>
      </c>
      <c r="E21" s="98"/>
      <c r="F21" s="99">
        <v>2890</v>
      </c>
      <c r="G21" s="10" t="s">
        <v>196</v>
      </c>
      <c r="H21" s="100">
        <v>45968</v>
      </c>
      <c r="I21" s="101">
        <v>45968</v>
      </c>
      <c r="J21" s="10" t="s">
        <v>197</v>
      </c>
      <c r="K21" s="10" t="s">
        <v>130</v>
      </c>
      <c r="L21" s="10" t="s">
        <v>131</v>
      </c>
      <c r="M21" s="10" t="s">
        <v>115</v>
      </c>
      <c r="N21" s="12" t="s">
        <v>116</v>
      </c>
      <c r="O21" s="10" t="s">
        <v>117</v>
      </c>
      <c r="P21" s="12" t="s">
        <v>198</v>
      </c>
      <c r="Q21" s="10" t="s">
        <v>199</v>
      </c>
      <c r="R21" s="10" t="s">
        <v>200</v>
      </c>
      <c r="S21" s="10" t="s">
        <v>25</v>
      </c>
      <c r="T21" s="2" t="str">
        <f t="shared" si="0"/>
        <v>6100J</v>
      </c>
      <c r="U21" s="2" t="str" cm="1">
        <f t="array" ref="U21">_xlfn.LET(
  _xlpm.ch, TRIM(SUBSTITUTE(G21,CHAR(160),"")),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IF(L21="CLIENTE", O21, IF(LEFT(L21,4)="http", L21, "MACPONTA AGRO DE "&amp;L21)),
  _xlpm.paraBase, IF(M21="CLIENTE", P21, M21),
  _xlpm.paraTxt, IF(LEFT(_xlpm.paraBase,4)="http", _xlpm.paraBase, "MACPONTA AGRO DE "&amp;_xlpm.paraBase),
  _xlpm.nfParte, IF(LEN(TRIM(I21))=0, "", " -NF "&amp;TRIM(I21)),
  "- " &amp; _xlpm.tipotxt &amp; ": *" &amp; G21 &amp; "*" &amp; CHAR(13)&amp;CHAR(10) &amp;
  "- " &amp; _xlpm.dimtxt &amp; CHAR(13)&amp;CHAR(10) &amp;
  "- *Cliente*: " &amp; J21 &amp; _xlpm.nfParte &amp; CHAR(13)&amp;CHAR(10) &amp;
  "- *Obs:* " &amp; O21 &amp; CHAR(13)&amp;CHAR(10) &amp; CHAR(10) &amp;
  "- *De*: " &amp; _xlpm.deTxt &amp; CHAR(13)&amp;CHAR(10) &amp;
  "- *Para*: " &amp; _xlpm.paraTxt &amp; CHAR(13)&amp;CHAR(10) &amp;
  "- *Ida e volta*: +/- " &amp; TEXT(((D21*1.5)/1440),"h:mm") &amp; "h | " &amp; D21 &amp; "km"
)</f>
        <v>- TRATOR: *1BM6100JVSD602522*_x000D_
- A:2,72 x C:4,56 x L:2,50-3,30 x P:5.600kg_x000D_
- *Cliente*: ADILSON KRASSOSKI -NF11620  -NF 45968_x000D_
- *Obs:* MPA_x000D_
- *De*: MACPONTA AGRO DE GUARAPUAVA_x000D_
- *Para*: https://maps.app.goo.gl/nUnfbBeivgDPDFmy6_x000D_
- *Ida e volta*: +/- 8:15h | 330km</v>
      </c>
    </row>
    <row r="22" spans="1:21" ht="14.45">
      <c r="A22" s="12" t="s">
        <v>111</v>
      </c>
      <c r="B22" s="10" t="s">
        <v>65</v>
      </c>
      <c r="C22" s="97">
        <f>IFERROR((D22*1.5)/1440, "?")</f>
        <v>0.33854166666666669</v>
      </c>
      <c r="D22" s="10">
        <v>325</v>
      </c>
      <c r="E22" s="98">
        <f>IFERROR((D22*6),"?")</f>
        <v>1950</v>
      </c>
      <c r="F22" s="99"/>
      <c r="G22" s="10" t="s">
        <v>201</v>
      </c>
      <c r="H22" s="100">
        <v>45972</v>
      </c>
      <c r="I22" s="101">
        <v>45972</v>
      </c>
      <c r="J22" s="10" t="s">
        <v>202</v>
      </c>
      <c r="K22" s="10" t="s">
        <v>142</v>
      </c>
      <c r="L22" s="10" t="s">
        <v>58</v>
      </c>
      <c r="M22" s="10" t="s">
        <v>203</v>
      </c>
      <c r="N22" s="12" t="s">
        <v>204</v>
      </c>
      <c r="O22" s="10" t="s">
        <v>117</v>
      </c>
      <c r="P22" s="12" t="s">
        <v>117</v>
      </c>
      <c r="Q22" s="10" t="s">
        <v>205</v>
      </c>
      <c r="R22" s="10" t="s">
        <v>58</v>
      </c>
      <c r="S22" s="10" t="s">
        <v>21</v>
      </c>
      <c r="T22" s="2" t="str">
        <f t="shared" si="0"/>
        <v>P111</v>
      </c>
      <c r="U22" s="2" t="str" cm="1">
        <f t="array" ref="U22">_xlfn.LET(
  _xlpm.ch, TRIM(SUBSTITUTE(G22,CHAR(160),"")),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IF(L22="CLIENTE", O22, IF(LEFT(L22,4)="http", L22, "MACPONTA AGRO DE "&amp;L22)),
  _xlpm.paraBase, IF(M22="CLIENTE", P22, M22),
  _xlpm.paraTxt, IF(LEFT(_xlpm.paraBase,4)="http", _xlpm.paraBase, "MACPONTA AGRO DE "&amp;_xlpm.paraBase),
  _xlpm.nfParte, IF(LEN(TRIM(I22))=0, "", " -NF "&amp;TRIM(I22)),
  "- " &amp; _xlpm.tipotxt &amp; ": *" &amp; G22 &amp; "*" &amp; CHAR(13)&amp;CHAR(10) &amp;
  "- " &amp; _xlpm.dimtxt &amp; CHAR(13)&amp;CHAR(10) &amp;
  "- *Cliente*: " &amp; J22 &amp; _xlpm.nfParte &amp; CHAR(13)&amp;CHAR(10) &amp;
  "- *Obs:* " &amp; O22 &amp; CHAR(13)&amp;CHAR(10) &amp; CHAR(10) &amp;
  "- *De*: " &amp; _xlpm.deTxt &amp; CHAR(13)&amp;CHAR(10) &amp;
  "- *Para*: " &amp; _xlpm.paraTxt &amp; CHAR(13)&amp;CHAR(10) &amp;
  "- *Ida e volta*: +/- " &amp; TEXT(((D22*1.5)/1440),"h:mm") &amp; "h | " &amp; D22 &amp; "km"
)</f>
        <v>- NÃO ENCONTRADO: *AAAP1112CGS000944*_x000D_
- _x000D_
- *Cliente*: TRANSF -NF000076886 -NF 45972_x000D_
- *Obs:* MPA_x000D_
- *De*: MACPONTA AGRO DE IRATI_x000D_
- *Para*: MACPONTA AGRO DE PRUDENTÓPOLIS_x000D_
- *Ida e volta*: +/- 8:07h | 325km</v>
      </c>
    </row>
    <row r="23" spans="1:21" ht="14.45">
      <c r="A23" s="12" t="s">
        <v>111</v>
      </c>
      <c r="B23" s="10" t="s">
        <v>65</v>
      </c>
      <c r="C23" s="97">
        <f>IFERROR((D23*1.5)/1440, "?")</f>
        <v>0.265625</v>
      </c>
      <c r="D23" s="10">
        <v>255</v>
      </c>
      <c r="E23" s="98">
        <f>IFERROR((D23*6),"?")</f>
        <v>1530</v>
      </c>
      <c r="F23" s="99"/>
      <c r="G23" s="10" t="s">
        <v>206</v>
      </c>
      <c r="H23" s="100">
        <v>45972</v>
      </c>
      <c r="I23" s="101">
        <v>45972</v>
      </c>
      <c r="J23" s="10" t="s">
        <v>207</v>
      </c>
      <c r="K23" s="10" t="s">
        <v>142</v>
      </c>
      <c r="L23" s="10" t="s">
        <v>58</v>
      </c>
      <c r="M23" s="10" t="s">
        <v>203</v>
      </c>
      <c r="N23" s="12" t="s">
        <v>204</v>
      </c>
      <c r="O23" s="10" t="s">
        <v>117</v>
      </c>
      <c r="P23" s="12" t="s">
        <v>117</v>
      </c>
      <c r="Q23" s="10" t="s">
        <v>205</v>
      </c>
      <c r="R23" s="10" t="s">
        <v>58</v>
      </c>
      <c r="S23" s="10" t="s">
        <v>25</v>
      </c>
      <c r="T23" s="2" t="str">
        <f t="shared" si="0"/>
        <v>5078E</v>
      </c>
      <c r="U23" s="2" t="str" cm="1">
        <f t="array" ref="U23">_xlfn.LET(
  _xlpm.ch, TRIM(SUBSTITUTE(G23,CHAR(160),"")),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IF(L23="CLIENTE", O23, IF(LEFT(L23,4)="http", L23, "MACPONTA AGRO DE "&amp;L23)),
  _xlpm.paraBase, IF(M23="CLIENTE", P23, M23),
  _xlpm.paraTxt, IF(LEFT(_xlpm.paraBase,4)="http", _xlpm.paraBase, "MACPONTA AGRO DE "&amp;_xlpm.paraBase),
  _xlpm.nfParte, IF(LEN(TRIM(I23))=0, "", " -NF "&amp;TRIM(I23)),
  "- " &amp; _xlpm.tipotxt &amp; ": *" &amp; G23 &amp; "*" &amp; CHAR(13)&amp;CHAR(10) &amp;
  "- " &amp; _xlpm.dimtxt &amp; CHAR(13)&amp;CHAR(10) &amp;
  "- *Cliente*: " &amp; J23 &amp; _xlpm.nfParte &amp; CHAR(13)&amp;CHAR(10) &amp;
  "- *Obs:* " &amp; O23 &amp; CHAR(13)&amp;CHAR(10) &amp; CHAR(10) &amp;
  "- *De*: " &amp; _xlpm.deTxt &amp; CHAR(13)&amp;CHAR(10) &amp;
  "- *Para*: " &amp; _xlpm.paraTxt &amp; CHAR(13)&amp;CHAR(10) &amp;
  "- *Ida e volta*: +/- " &amp; TEXT(((D23*1.5)/1440),"h:mm") &amp; "h | " &amp; D23 &amp; "km"
)</f>
        <v>- TRATOR: *1BM5078EHS4200616*_x000D_
- A:2,77 x C:4,17 x L:1,45-2,00 x P:5.100kg_x000D_
- *Cliente*: TRANSF -NF000076884 -NF 45972_x000D_
- *Obs:* MPA_x000D_
- *De*: MACPONTA AGRO DE IRATI_x000D_
- *Para*: MACPONTA AGRO DE PRUDENTÓPOLIS_x000D_
- *Ida e volta*: +/- 6:22h | 255km</v>
      </c>
    </row>
    <row r="24" spans="1:21" ht="14.45">
      <c r="A24" s="12" t="s">
        <v>111</v>
      </c>
      <c r="B24" s="10" t="s">
        <v>65</v>
      </c>
      <c r="C24" s="97">
        <f>IFERROR((D24*1.5)/1440, "?")</f>
        <v>0.265625</v>
      </c>
      <c r="D24" s="10">
        <v>255</v>
      </c>
      <c r="E24" s="98">
        <f>IFERROR((D24*6),"?")</f>
        <v>1530</v>
      </c>
      <c r="F24" s="99"/>
      <c r="G24" s="10" t="s">
        <v>208</v>
      </c>
      <c r="H24" s="100">
        <v>45972</v>
      </c>
      <c r="I24" s="101">
        <v>45972</v>
      </c>
      <c r="J24" s="10" t="s">
        <v>207</v>
      </c>
      <c r="K24" s="10" t="s">
        <v>142</v>
      </c>
      <c r="L24" s="10" t="s">
        <v>58</v>
      </c>
      <c r="M24" s="10" t="s">
        <v>203</v>
      </c>
      <c r="N24" s="12" t="s">
        <v>204</v>
      </c>
      <c r="O24" s="10" t="s">
        <v>117</v>
      </c>
      <c r="P24" s="12" t="s">
        <v>117</v>
      </c>
      <c r="Q24" s="10" t="s">
        <v>205</v>
      </c>
      <c r="R24" s="10" t="s">
        <v>58</v>
      </c>
      <c r="S24" s="10" t="s">
        <v>25</v>
      </c>
      <c r="T24" s="2" t="str">
        <f t="shared" si="0"/>
        <v>6150J</v>
      </c>
      <c r="U24" s="2" t="str" cm="1">
        <f t="array" ref="U24">_xlfn.LET(
  _xlpm.ch, TRIM(SUBSTITUTE(G24,CHAR(160),"")),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IF(L24="CLIENTE", O24, IF(LEFT(L24,4)="http", L24, "MACPONTA AGRO DE "&amp;L24)),
  _xlpm.paraBase, IF(M24="CLIENTE", P24, M24),
  _xlpm.paraTxt, IF(LEFT(_xlpm.paraBase,4)="http", _xlpm.paraBase, "MACPONTA AGRO DE "&amp;_xlpm.paraBase),
  _xlpm.nfParte, IF(LEN(TRIM(I24))=0, "", " -NF "&amp;TRIM(I24)),
  "- " &amp; _xlpm.tipotxt &amp; ": *" &amp; G24 &amp; "*" &amp; CHAR(13)&amp;CHAR(10) &amp;
  "- " &amp; _xlpm.dimtxt &amp; CHAR(13)&amp;CHAR(10) &amp;
  "- *Cliente*: " &amp; J24 &amp; _xlpm.nfParte &amp; CHAR(13)&amp;CHAR(10) &amp;
  "- *Obs:* " &amp; O24 &amp; CHAR(13)&amp;CHAR(10) &amp; CHAR(10) &amp;
  "- *De*: " &amp; _xlpm.deTxt &amp; CHAR(13)&amp;CHAR(10) &amp;
  "- *Para*: " &amp; _xlpm.paraTxt &amp; CHAR(13)&amp;CHAR(10) &amp;
  "- *Ida e volta*: +/- " &amp; TEXT(((D24*1.5)/1440),"h:mm") &amp; "h | " &amp; D24 &amp; "km"
)</f>
        <v>- TRATOR: *1BM6150JCSD642412*_x000D_
- A:2,86 x C:4,96 x L:2,70-3,30 x P:7.800kg_x000D_
- *Cliente*: TRANSF -NF000076884 -NF 45972_x000D_
- *Obs:* MPA_x000D_
- *De*: MACPONTA AGRO DE IRATI_x000D_
- *Para*: MACPONTA AGRO DE PRUDENTÓPOLIS_x000D_
- *Ida e volta*: +/- 6:22h | 255km</v>
      </c>
    </row>
    <row r="25" spans="1:21" ht="14.45">
      <c r="A25" s="12" t="s">
        <v>111</v>
      </c>
      <c r="B25" s="10" t="s">
        <v>65</v>
      </c>
      <c r="C25" s="97">
        <f>IFERROR((D25*1.5)/1440, "?")</f>
        <v>0.33854166666666669</v>
      </c>
      <c r="D25" s="10">
        <v>325</v>
      </c>
      <c r="E25" s="98">
        <f>IFERROR((D25*6),"?")</f>
        <v>1950</v>
      </c>
      <c r="F25" s="99"/>
      <c r="G25" s="10" t="s">
        <v>209</v>
      </c>
      <c r="H25" s="100">
        <v>45972</v>
      </c>
      <c r="I25" s="101">
        <v>45972</v>
      </c>
      <c r="J25" s="10" t="s">
        <v>210</v>
      </c>
      <c r="K25" s="10" t="s">
        <v>142</v>
      </c>
      <c r="L25" s="10" t="s">
        <v>58</v>
      </c>
      <c r="M25" s="10" t="s">
        <v>203</v>
      </c>
      <c r="N25" s="12" t="s">
        <v>204</v>
      </c>
      <c r="O25" s="10" t="s">
        <v>117</v>
      </c>
      <c r="P25" s="12" t="s">
        <v>117</v>
      </c>
      <c r="Q25" s="10" t="s">
        <v>205</v>
      </c>
      <c r="R25" s="10" t="s">
        <v>58</v>
      </c>
      <c r="S25" s="10" t="s">
        <v>25</v>
      </c>
      <c r="T25" s="2" t="str">
        <f t="shared" si="0"/>
        <v>C100</v>
      </c>
      <c r="U25" s="2" t="str" cm="1">
        <f t="array" ref="U25">_xlfn.LET(
  _xlpm.ch, TRIM(SUBSTITUTE(G25,CHAR(160),"")),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IF(L25="CLIENTE", O25, IF(LEFT(L25,4)="http", L25, "MACPONTA AGRO DE "&amp;L25)),
  _xlpm.paraBase, IF(M25="CLIENTE", P25, M25),
  _xlpm.paraTxt, IF(LEFT(_xlpm.paraBase,4)="http", _xlpm.paraBase, "MACPONTA AGRO DE "&amp;_xlpm.paraBase),
  _xlpm.nfParte, IF(LEN(TRIM(I25))=0, "", " -NF "&amp;TRIM(I25)),
  "- " &amp; _xlpm.tipotxt &amp; ": *" &amp; G25 &amp; "*" &amp; CHAR(13)&amp;CHAR(10) &amp;
  "- " &amp; _xlpm.dimtxt &amp; CHAR(13)&amp;CHAR(10) &amp;
  "- *Cliente*: " &amp; J25 &amp; _xlpm.nfParte &amp; CHAR(13)&amp;CHAR(10) &amp;
  "- *Obs:* " &amp; O25 &amp; CHAR(13)&amp;CHAR(10) &amp; CHAR(10) &amp;
  "- *De*: " &amp; _xlpm.deTxt &amp; CHAR(13)&amp;CHAR(10) &amp;
  "- *Para*: " &amp; _xlpm.paraTxt &amp; CHAR(13)&amp;CHAR(10) &amp;
  "- *Ida e volta*: +/- " &amp; TEXT(((D25*1.5)/1440),"h:mm") &amp; "h | " &amp; D25 &amp; "km"
)</f>
        <v>- NÃO ENCONTRADO: *9AGC1007EHS000187*_x000D_
- _x000D_
- *Cliente*: TRANSF -NF000076891 -NF 45972_x000D_
- *Obs:* MPA_x000D_
- *De*: MACPONTA AGRO DE IRATI_x000D_
- *Para*: MACPONTA AGRO DE PRUDENTÓPOLIS_x000D_
- *Ida e volta*: +/- 8:07h | 325km</v>
      </c>
    </row>
    <row r="26" spans="1:21" ht="14.45">
      <c r="A26" s="12" t="s">
        <v>111</v>
      </c>
      <c r="B26" s="10" t="s">
        <v>48</v>
      </c>
      <c r="C26" s="97">
        <f>IFERROR((D26*1.5)/1440, "?")</f>
        <v>8.1250000000000003E-2</v>
      </c>
      <c r="D26" s="10">
        <v>78</v>
      </c>
      <c r="E26" s="98"/>
      <c r="F26" s="99">
        <v>1389</v>
      </c>
      <c r="G26" s="10" t="s">
        <v>211</v>
      </c>
      <c r="H26" s="100">
        <v>45972</v>
      </c>
      <c r="I26" s="101">
        <v>45972</v>
      </c>
      <c r="J26" s="10" t="s">
        <v>212</v>
      </c>
      <c r="K26" s="10" t="s">
        <v>130</v>
      </c>
      <c r="L26" s="10" t="s">
        <v>203</v>
      </c>
      <c r="M26" s="10" t="s">
        <v>115</v>
      </c>
      <c r="N26" s="12" t="s">
        <v>116</v>
      </c>
      <c r="O26" s="10" t="s">
        <v>117</v>
      </c>
      <c r="P26" s="13" t="s">
        <v>213</v>
      </c>
      <c r="Q26" s="10" t="s">
        <v>214</v>
      </c>
      <c r="R26" s="10" t="s">
        <v>131</v>
      </c>
      <c r="S26" s="10" t="s">
        <v>25</v>
      </c>
      <c r="T26" s="2" t="str">
        <f t="shared" si="0"/>
        <v>6100J</v>
      </c>
      <c r="U26" s="2" t="str" cm="1">
        <f t="array" ref="U26">_xlfn.LET(
  _xlpm.ch, TRIM(SUBSTITUTE(G26,CHAR(160),"")),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IF(L26="CLIENTE", O26, IF(LEFT(L26,4)="http", L26, "MACPONTA AGRO DE "&amp;L26)),
  _xlpm.paraBase, IF(M26="CLIENTE", P26, M26),
  _xlpm.paraTxt, IF(LEFT(_xlpm.paraBase,4)="http", _xlpm.paraBase, "MACPONTA AGRO DE "&amp;_xlpm.paraBase),
  _xlpm.nfParte, IF(LEN(TRIM(I26))=0, "", " -NF "&amp;TRIM(I26)),
  "- " &amp; _xlpm.tipotxt &amp; ": *" &amp; G26 &amp; "*" &amp; CHAR(13)&amp;CHAR(10) &amp;
  "- " &amp; _xlpm.dimtxt &amp; CHAR(13)&amp;CHAR(10) &amp;
  "- *Cliente*: " &amp; J26 &amp; _xlpm.nfParte &amp; CHAR(13)&amp;CHAR(10) &amp;
  "- *Obs:* " &amp; O26 &amp; CHAR(13)&amp;CHAR(10) &amp; CHAR(10) &amp;
  "- *De*: " &amp; _xlpm.deTxt &amp; CHAR(13)&amp;CHAR(10) &amp;
  "- *Para*: " &amp; _xlpm.paraTxt &amp; CHAR(13)&amp;CHAR(10) &amp;
  "- *Ida e volta*: +/- " &amp; TEXT(((D26*1.5)/1440),"h:mm") &amp; "h | " &amp; D26 &amp; "km"
)</f>
        <v>- TRATOR: *1BM6100JESD602123*_x000D_
- A:2,72 x C:4,56 x L:2,50-3,30 x P:5.600kg_x000D_
- *Cliente*: OSWALDO R BARBOSA -NF107698 -NF 45972_x000D_
- *Obs:* MPA_x000D_
- *De*: MACPONTA AGRO DE PRUDENTÓPOLIS_x000D_
- *Para*: https://maps.app.goo.gl/3mYP9KzrASogJS3w9_x000D_
- *Ida e volta*: +/- 1:57h | 78km</v>
      </c>
    </row>
    <row r="27" spans="1:21" ht="14.45">
      <c r="A27" s="12" t="s">
        <v>177</v>
      </c>
      <c r="B27" s="10" t="s">
        <v>65</v>
      </c>
      <c r="C27" s="97">
        <f>IFERROR((D27*1.5)/1440, "?")</f>
        <v>0.52083333333333337</v>
      </c>
      <c r="D27" s="10">
        <v>500</v>
      </c>
      <c r="E27" s="98">
        <v>800</v>
      </c>
      <c r="F27" s="99"/>
      <c r="G27" s="10" t="s">
        <v>215</v>
      </c>
      <c r="H27" s="100">
        <v>45972</v>
      </c>
      <c r="I27" s="101">
        <v>45971</v>
      </c>
      <c r="J27" s="10" t="s">
        <v>216</v>
      </c>
      <c r="K27" s="10" t="s">
        <v>161</v>
      </c>
      <c r="L27" s="10" t="s">
        <v>131</v>
      </c>
      <c r="M27" s="10" t="s">
        <v>115</v>
      </c>
      <c r="N27" s="12" t="s">
        <v>217</v>
      </c>
      <c r="O27" s="10" t="s">
        <v>117</v>
      </c>
      <c r="P27" s="13" t="s">
        <v>218</v>
      </c>
      <c r="Q27" s="10" t="s">
        <v>205</v>
      </c>
      <c r="R27" s="10" t="s">
        <v>131</v>
      </c>
      <c r="S27" s="10" t="s">
        <v>23</v>
      </c>
      <c r="T27" s="2" t="str">
        <f t="shared" si="0"/>
        <v>RD30</v>
      </c>
      <c r="U27" s="2" t="str" cm="1">
        <f t="array" ref="U27">_xlfn.LET(
  _xlpm.ch, TRIM(SUBSTITUTE(G27,CHAR(160),"")),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IF(L27="CLIENTE", O27, IF(LEFT(L27,4)="http", L27, "MACPONTA AGRO DE "&amp;L27)),
  _xlpm.paraBase, IF(M27="CLIENTE", P27, M27),
  _xlpm.paraTxt, IF(LEFT(_xlpm.paraBase,4)="http", _xlpm.paraBase, "MACPONTA AGRO DE "&amp;_xlpm.paraBase),
  _xlpm.nfParte, IF(LEN(TRIM(I27))=0, "", " -NF "&amp;TRIM(I27)),
  "- " &amp; _xlpm.tipotxt &amp; ": *" &amp; G27 &amp; "*" &amp; CHAR(13)&amp;CHAR(10) &amp;
  "- " &amp; _xlpm.dimtxt &amp; CHAR(13)&amp;CHAR(10) &amp;
  "- *Cliente*: " &amp; J27 &amp; _xlpm.nfParte &amp; CHAR(13)&amp;CHAR(10) &amp;
  "- *Obs:* " &amp; O27 &amp; CHAR(13)&amp;CHAR(10) &amp; CHAR(10) &amp;
  "- *De*: " &amp; _xlpm.deTxt &amp; CHAR(13)&amp;CHAR(10) &amp;
  "- *Para*: " &amp; _xlpm.paraTxt &amp; CHAR(13)&amp;CHAR(10) &amp;
  "- *Ida e volta*: +/- " &amp; TEXT(((D27*1.5)/1440),"h:mm") &amp; "h | " &amp; D27 &amp; "km"
)</f>
        <v>- PLATAFORMA: *1CQRD30AVS0160245*_x000D_
- A:1,60 x C:9,14 x L:2,20-2,20 x P:4.200kg_x000D_
- *Cliente*: DOUGLAS FONSECA -NF 107225 -NF 45971_x000D_
- *Obs:* MPA_x000D_
- *De*: MACPONTA AGRO DE GUARAPUAVA_x000D_
- *Para*: https://maps.app.goo.gl/xyQpe8BG44WqsG1v9_x000D_
- *Ida e volta*: +/- 12:30h | 500km</v>
      </c>
    </row>
    <row r="28" spans="1:21" ht="14.45">
      <c r="A28" s="12" t="s">
        <v>177</v>
      </c>
      <c r="B28" s="10" t="s">
        <v>65</v>
      </c>
      <c r="C28" s="97">
        <f>IFERROR((D28*1.5)/1440, "?")</f>
        <v>0.52083333333333337</v>
      </c>
      <c r="D28" s="10">
        <v>500</v>
      </c>
      <c r="E28" s="98">
        <v>2200</v>
      </c>
      <c r="F28" s="99"/>
      <c r="G28" s="10" t="s">
        <v>219</v>
      </c>
      <c r="H28" s="100">
        <v>45972</v>
      </c>
      <c r="I28" s="101">
        <v>45971</v>
      </c>
      <c r="J28" s="10" t="s">
        <v>216</v>
      </c>
      <c r="K28" s="10" t="s">
        <v>161</v>
      </c>
      <c r="L28" s="10" t="s">
        <v>131</v>
      </c>
      <c r="M28" s="10" t="s">
        <v>115</v>
      </c>
      <c r="N28" s="12" t="s">
        <v>217</v>
      </c>
      <c r="O28" s="10" t="s">
        <v>117</v>
      </c>
      <c r="P28" s="13" t="s">
        <v>218</v>
      </c>
      <c r="Q28" s="10" t="s">
        <v>205</v>
      </c>
      <c r="R28" s="10" t="s">
        <v>131</v>
      </c>
      <c r="S28" s="10" t="s">
        <v>21</v>
      </c>
      <c r="T28" s="2" t="str">
        <f t="shared" si="0"/>
        <v>S550</v>
      </c>
      <c r="U28" s="2" t="str" cm="1">
        <f t="array" ref="U28">_xlfn.LET(
  _xlpm.ch, TRIM(SUBSTITUTE(G28,CHAR(160),"")),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IF(L28="CLIENTE", O28, IF(LEFT(L28,4)="http", L28, "MACPONTA AGRO DE "&amp;L28)),
  _xlpm.paraBase, IF(M28="CLIENTE", P28, M28),
  _xlpm.paraTxt, IF(LEFT(_xlpm.paraBase,4)="http", _xlpm.paraBase, "MACPONTA AGRO DE "&amp;_xlpm.paraBase),
  _xlpm.nfParte, IF(LEN(TRIM(I28))=0, "", " -NF "&amp;TRIM(I28)),
  "- " &amp; _xlpm.tipotxt &amp; ": *" &amp; G28 &amp; "*" &amp; CHAR(13)&amp;CHAR(10) &amp;
  "- " &amp; _xlpm.dimtxt &amp; CHAR(13)&amp;CHAR(10) &amp;
  "- *Cliente*: " &amp; J28 &amp; _xlpm.nfParte &amp; CHAR(13)&amp;CHAR(10) &amp;
  "- *Obs:* " &amp; O28 &amp; CHAR(13)&amp;CHAR(10) &amp; CHAR(10) &amp;
  "- *De*: " &amp; _xlpm.deTxt &amp; CHAR(13)&amp;CHAR(10) &amp;
  "- *Para*: " &amp; _xlpm.paraTxt &amp; CHAR(13)&amp;CHAR(10) &amp;
  "- *Ida e volta*: +/- " &amp; TEXT(((D28*1.5)/1440),"h:mm") &amp; "h | " &amp; D28 &amp; "km"
)</f>
        <v>- COLHEITADEIRA: *1CQS550APS0160136*_x000D_
- A:3,80 x C:10,00 x L:3,70-4,20 x P:15.938kg_x000D_
- *Cliente*: DOUGLAS FONSECA -NF 107225 -NF 45971_x000D_
- *Obs:* MPA_x000D_
- *De*: MACPONTA AGRO DE GUARAPUAVA_x000D_
- *Para*: https://maps.app.goo.gl/xyQpe8BG44WqsG1v9_x000D_
- *Ida e volta*: +/- 12:30h | 500km</v>
      </c>
    </row>
    <row r="29" spans="1:21" ht="14.45">
      <c r="A29" s="12" t="s">
        <v>111</v>
      </c>
      <c r="B29" s="10" t="s">
        <v>55</v>
      </c>
      <c r="C29" s="97">
        <f>IFERROR((D29*1.5)/1440, "?")</f>
        <v>5.9374999999999997E-2</v>
      </c>
      <c r="D29" s="10">
        <v>57</v>
      </c>
      <c r="E29" s="98">
        <f>IFERROR((D29*6),"?")</f>
        <v>342</v>
      </c>
      <c r="F29" s="99"/>
      <c r="G29" s="10" t="s">
        <v>220</v>
      </c>
      <c r="H29" s="100">
        <v>45973</v>
      </c>
      <c r="I29" s="101">
        <v>45973</v>
      </c>
      <c r="J29" s="10" t="s">
        <v>124</v>
      </c>
      <c r="K29" s="10" t="s">
        <v>161</v>
      </c>
      <c r="L29" s="10" t="s">
        <v>115</v>
      </c>
      <c r="M29" s="10" t="s">
        <v>148</v>
      </c>
      <c r="N29" s="12" t="s">
        <v>125</v>
      </c>
      <c r="O29" s="10" t="s">
        <v>221</v>
      </c>
      <c r="P29" s="12" t="s">
        <v>117</v>
      </c>
      <c r="Q29" s="10" t="s">
        <v>222</v>
      </c>
      <c r="R29" s="10" t="s">
        <v>148</v>
      </c>
      <c r="S29" s="10" t="s">
        <v>25</v>
      </c>
      <c r="T29" s="2" t="str">
        <f t="shared" si="0"/>
        <v>7230J</v>
      </c>
      <c r="U29" s="2" t="str" cm="1">
        <f t="array" ref="U29">_xlfn.LET(
  _xlpm.ch, TRIM(SUBSTITUTE(G29,CHAR(160),"")),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IF(L29="CLIENTE", O29, IF(LEFT(L29,4)="http", L29, "MACPONTA AGRO DE "&amp;L29)),
  _xlpm.paraBase, IF(M29="CLIENTE", P29, M29),
  _xlpm.paraTxt, IF(LEFT(_xlpm.paraBase,4)="http", _xlpm.paraBase, "MACPONTA AGRO DE "&amp;_xlpm.paraBase),
  _xlpm.nfParte, IF(LEN(TRIM(I29))=0, "", " -NF "&amp;TRIM(I29)),
  "- " &amp; _xlpm.tipotxt &amp; ": *" &amp; G29 &amp; "*" &amp; CHAR(13)&amp;CHAR(10) &amp;
  "- " &amp; _xlpm.dimtxt &amp; CHAR(13)&amp;CHAR(10) &amp;
  "- *Cliente*: " &amp; J29 &amp; _xlpm.nfParte &amp; CHAR(13)&amp;CHAR(10) &amp;
  "- *Obs:* " &amp; O29 &amp; CHAR(13)&amp;CHAR(10) &amp; CHAR(10) &amp;
  "- *De*: " &amp; _xlpm.deTxt &amp; CHAR(13)&amp;CHAR(10) &amp;
  "- *Para*: " &amp; _xlpm.paraTxt &amp; CHAR(13)&amp;CHAR(10) &amp;
  "- *Ida e volta*: +/- " &amp; TEXT(((D29*1.5)/1440),"h:mm") &amp; "h | " &amp; D29 &amp; "km"
)</f>
        <v>- TRATOR: *1BM7230JCPH010913*_x000D_
- A:3,17 x C:5,82 x L:2,43-3,00 x P:12.650kg_x000D_
- *Cliente*: CLIENTE → MANUTENÇÃO -NF 45973_x000D_
- *Obs:* https://maps.app.goo.gl/xb5MkVzoE3pEMvuw8_x000D_
- *De*: https://maps.app.goo.gl/xb5MkVzoE3pEMvuw8_x000D_
- *Para*: MACPONTA AGRO DE PONTA GROSSA_x000D_
- *Ida e volta*: +/- 1:25h | 57km</v>
      </c>
    </row>
    <row r="30" spans="1:21" ht="14.45">
      <c r="A30" s="12" t="s">
        <v>111</v>
      </c>
      <c r="B30" s="10" t="s">
        <v>65</v>
      </c>
      <c r="C30" s="97">
        <f>IFERROR((D30*1.5)/1440, "?")</f>
        <v>0.10416666666666667</v>
      </c>
      <c r="D30" s="10">
        <v>100</v>
      </c>
      <c r="E30" s="98">
        <f>IFERROR((D30*6),"?")</f>
        <v>600</v>
      </c>
      <c r="F30" s="99"/>
      <c r="G30" s="10" t="s">
        <v>223</v>
      </c>
      <c r="H30" s="100">
        <v>45974</v>
      </c>
      <c r="I30" s="101">
        <v>45974</v>
      </c>
      <c r="J30" s="10" t="s">
        <v>124</v>
      </c>
      <c r="K30" s="10" t="s">
        <v>161</v>
      </c>
      <c r="L30" s="10" t="s">
        <v>148</v>
      </c>
      <c r="M30" s="10" t="s">
        <v>115</v>
      </c>
      <c r="N30" s="12" t="s">
        <v>116</v>
      </c>
      <c r="O30" s="10" t="s">
        <v>117</v>
      </c>
      <c r="P30" s="12" t="s">
        <v>224</v>
      </c>
      <c r="Q30" s="10" t="s">
        <v>225</v>
      </c>
      <c r="R30" s="10" t="s">
        <v>148</v>
      </c>
      <c r="S30" s="10" t="s">
        <v>25</v>
      </c>
      <c r="T30" s="2" t="str">
        <f t="shared" si="0"/>
        <v>7225J</v>
      </c>
      <c r="U30" s="2" t="str" cm="1">
        <f t="array" ref="U30">_xlfn.LET(
  _xlpm.ch, TRIM(SUBSTITUTE(G30,CHAR(160),"")),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IF(L30="CLIENTE", O30, IF(LEFT(L30,4)="http", L30, "MACPONTA AGRO DE "&amp;L30)),
  _xlpm.paraBase, IF(M30="CLIENTE", P30, M30),
  _xlpm.paraTxt, IF(LEFT(_xlpm.paraBase,4)="http", _xlpm.paraBase, "MACPONTA AGRO DE "&amp;_xlpm.paraBase),
  _xlpm.nfParte, IF(LEN(TRIM(I30))=0, "", " -NF "&amp;TRIM(I30)),
  "- " &amp; _xlpm.tipotxt &amp; ": *" &amp; G30 &amp; "*" &amp; CHAR(13)&amp;CHAR(10) &amp;
  "- " &amp; _xlpm.dimtxt &amp; CHAR(13)&amp;CHAR(10) &amp;
  "- *Cliente*: " &amp; J30 &amp; _xlpm.nfParte &amp; CHAR(13)&amp;CHAR(10) &amp;
  "- *Obs:* " &amp; O30 &amp; CHAR(13)&amp;CHAR(10) &amp; CHAR(10) &amp;
  "- *De*: " &amp; _xlpm.deTxt &amp; CHAR(13)&amp;CHAR(10) &amp;
  "- *Para*: " &amp; _xlpm.paraTxt &amp; CHAR(13)&amp;CHAR(10) &amp;
  "- *Ida e volta*: +/- " &amp; TEXT(((D30*1.5)/1440),"h:mm") &amp; "h | " &amp; D30 &amp; "km"
)</f>
        <v>- NÃO ENCONTRADO: *1BM7225JCGH004564*_x000D_
- _x000D_
- *Cliente*: CLIENTE → MANUTENÇÃO -NF 45974_x000D_
- *Obs:* MPA_x000D_
- *De*: MACPONTA AGRO DE PONTA GROSSA_x000D_
- *Para*: https://maps.app.goo.gl/TWUFTdA34fB48Hvv8_x000D_
- *Ida e volta*: +/- 2:30h | 100km</v>
      </c>
    </row>
    <row r="31" spans="1:21" ht="14.45">
      <c r="A31" s="12" t="s">
        <v>111</v>
      </c>
      <c r="B31" s="10" t="s">
        <v>55</v>
      </c>
      <c r="C31" s="97">
        <f>IFERROR((D31*1.5)/1440, "?")</f>
        <v>0.109375</v>
      </c>
      <c r="D31" s="10">
        <v>105</v>
      </c>
      <c r="E31" s="98">
        <f>IFERROR((D31*6),"?")</f>
        <v>630</v>
      </c>
      <c r="F31" s="99"/>
      <c r="G31" s="10" t="s">
        <v>226</v>
      </c>
      <c r="H31" s="100">
        <v>45974</v>
      </c>
      <c r="I31" s="101">
        <v>45974</v>
      </c>
      <c r="J31" s="10" t="s">
        <v>227</v>
      </c>
      <c r="K31" s="10" t="s">
        <v>114</v>
      </c>
      <c r="L31" s="10" t="s">
        <v>115</v>
      </c>
      <c r="M31" s="10" t="s">
        <v>58</v>
      </c>
      <c r="N31" s="12" t="s">
        <v>125</v>
      </c>
      <c r="O31" s="136" t="s">
        <v>228</v>
      </c>
      <c r="P31" s="12" t="s">
        <v>117</v>
      </c>
      <c r="Q31" s="10" t="s">
        <v>229</v>
      </c>
      <c r="R31" s="10" t="s">
        <v>58</v>
      </c>
      <c r="S31" s="10" t="s">
        <v>25</v>
      </c>
      <c r="T31" s="2" t="str">
        <f t="shared" si="0"/>
        <v>5060E</v>
      </c>
      <c r="U31" s="2" t="str" cm="1">
        <f t="array" ref="U31">_xlfn.LET(
  _xlpm.ch, TRIM(SUBSTITUTE(G31,CHAR(160),"")),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IF(L31="CLIENTE", O31, IF(LEFT(L31,4)="http", L31, "MACPONTA AGRO DE "&amp;L31)),
  _xlpm.paraBase, IF(M31="CLIENTE", P31, M31),
  _xlpm.paraTxt, IF(LEFT(_xlpm.paraBase,4)="http", _xlpm.paraBase, "MACPONTA AGRO DE "&amp;_xlpm.paraBase),
  _xlpm.nfParte, IF(LEN(TRIM(I31))=0, "", " -NF "&amp;TRIM(I31)),
  "- " &amp; _xlpm.tipotxt &amp; ": *" &amp; G31 &amp; "*" &amp; CHAR(13)&amp;CHAR(10) &amp;
  "- " &amp; _xlpm.dimtxt &amp; CHAR(13)&amp;CHAR(10) &amp;
  "- *Cliente*: " &amp; J31 &amp; _xlpm.nfParte &amp; CHAR(13)&amp;CHAR(10) &amp;
  "- *Obs:* " &amp; O31 &amp; CHAR(13)&amp;CHAR(10) &amp; CHAR(10) &amp;
  "- *De*: " &amp; _xlpm.deTxt &amp; CHAR(13)&amp;CHAR(10) &amp;
  "- *Para*: " &amp; _xlpm.paraTxt &amp; CHAR(13)&amp;CHAR(10) &amp;
  "- *Ida e volta*: +/- " &amp; TEXT(((D31*1.5)/1440),"h:mm") &amp; "h | " &amp; D31 &amp; "km"
)</f>
        <v>- TRATOR: *1BM5060EPS4201602*_x000D_
- A:2,60 x C:4,08 x L:1,45-2,00 x P:5.100kg_x000D_
- *Cliente*: CARLOS EDINEI KNAUT → MANUTENÇÃO -NF 45974_x000D_
- *Obs:* https://maps.app.goo.gl/EGGjvMh2LpNr1STk7_x000D_
- *De*: https://maps.app.goo.gl/EGGjvMh2LpNr1STk7_x000D_
- *Para*: MACPONTA AGRO DE IRATI_x000D_
- *Ida e volta*: +/- 2:37h | 105km</v>
      </c>
    </row>
    <row r="32" spans="1:21">
      <c r="A32" s="12" t="s">
        <v>111</v>
      </c>
      <c r="B32" s="10" t="s">
        <v>55</v>
      </c>
      <c r="C32" s="97">
        <f>IFERROR((D32*1.5)/1440, "?")</f>
        <v>7.4999999999999997E-2</v>
      </c>
      <c r="D32" s="10">
        <v>72</v>
      </c>
      <c r="E32" s="98">
        <f>IFERROR((D32*6),"?")</f>
        <v>432</v>
      </c>
      <c r="F32" s="99"/>
      <c r="G32" s="10" t="s">
        <v>230</v>
      </c>
      <c r="H32" s="100">
        <v>45974</v>
      </c>
      <c r="I32" s="101">
        <v>45974</v>
      </c>
      <c r="J32" s="10" t="s">
        <v>231</v>
      </c>
      <c r="K32" s="10" t="s">
        <v>114</v>
      </c>
      <c r="L32" s="10" t="s">
        <v>115</v>
      </c>
      <c r="M32" s="10" t="s">
        <v>58</v>
      </c>
      <c r="N32" s="12" t="s">
        <v>125</v>
      </c>
      <c r="O32" s="11" t="s">
        <v>232</v>
      </c>
      <c r="P32" s="12" t="s">
        <v>117</v>
      </c>
      <c r="Q32" s="10" t="s">
        <v>229</v>
      </c>
      <c r="R32" s="10" t="s">
        <v>58</v>
      </c>
      <c r="S32" s="10" t="s">
        <v>25</v>
      </c>
      <c r="T32" s="2" t="str">
        <f t="shared" si="0"/>
        <v>5080E</v>
      </c>
      <c r="U32" s="2" t="str" cm="1">
        <f t="array" ref="U32">_xlfn.LET(
  _xlpm.ch, TRIM(SUBSTITUTE(G32,CHAR(160),"")),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IF(L32="CLIENTE", O32, IF(LEFT(L32,4)="http", L32, "MACPONTA AGRO DE "&amp;L32)),
  _xlpm.paraBase, IF(M32="CLIENTE", P32, M32),
  _xlpm.paraTxt, IF(LEFT(_xlpm.paraBase,4)="http", _xlpm.paraBase, "MACPONTA AGRO DE "&amp;_xlpm.paraBase),
  _xlpm.nfParte, IF(LEN(TRIM(I32))=0, "", " -NF "&amp;TRIM(I32)),
  "- " &amp; _xlpm.tipotxt &amp; ": *" &amp; G32 &amp; "*" &amp; CHAR(13)&amp;CHAR(10) &amp;
  "- " &amp; _xlpm.dimtxt &amp; CHAR(13)&amp;CHAR(10) &amp;
  "- *Cliente*: " &amp; J32 &amp; _xlpm.nfParte &amp; CHAR(13)&amp;CHAR(10) &amp;
  "- *Obs:* " &amp; O32 &amp; CHAR(13)&amp;CHAR(10) &amp; CHAR(10) &amp;
  "- *De*: " &amp; _xlpm.deTxt &amp; CHAR(13)&amp;CHAR(10) &amp;
  "- *Para*: " &amp; _xlpm.paraTxt &amp; CHAR(13)&amp;CHAR(10) &amp;
  "- *Ida e volta*: +/- " &amp; TEXT(((D32*1.5)/1440),"h:mm") &amp; "h | " &amp; D32 &amp; "km"
)</f>
        <v>- TRATOR: *1BM5080ECN4109659*_x000D_
- A:2,60 x C:4,08 x L:1,45-2,00 x P:5.100kg_x000D_
- *Cliente*: ANSELMO WASELECHEN → MANUTENÇÃO -NF 45974_x000D_
- *Obs:* https://maps.app.goo.gl/fhc785TjS54Vtjgc8_x000D_
- *De*: https://maps.app.goo.gl/fhc785TjS54Vtjgc8_x000D_
- *Para*: MACPONTA AGRO DE IRATI_x000D_
- *Ida e volta*: +/- 1:48h | 72km</v>
      </c>
    </row>
    <row r="33" spans="1:21">
      <c r="A33" s="12" t="s">
        <v>111</v>
      </c>
      <c r="B33" s="10" t="s">
        <v>55</v>
      </c>
      <c r="C33" s="97">
        <f>IFERROR((D33*1.5)/1440, "?")</f>
        <v>0.11979166666666667</v>
      </c>
      <c r="D33" s="10">
        <v>115</v>
      </c>
      <c r="E33" s="98">
        <f>IFERROR((D33*6),"?")</f>
        <v>690</v>
      </c>
      <c r="F33" s="99"/>
      <c r="G33" s="10" t="s">
        <v>123</v>
      </c>
      <c r="H33" s="100">
        <v>45974</v>
      </c>
      <c r="I33" s="101">
        <v>45974</v>
      </c>
      <c r="J33" s="10" t="s">
        <v>233</v>
      </c>
      <c r="K33" s="10" t="s">
        <v>114</v>
      </c>
      <c r="L33" s="10" t="s">
        <v>58</v>
      </c>
      <c r="M33" s="10" t="s">
        <v>115</v>
      </c>
      <c r="N33" s="12" t="s">
        <v>116</v>
      </c>
      <c r="O33" s="10" t="s">
        <v>117</v>
      </c>
      <c r="P33" s="13" t="s">
        <v>234</v>
      </c>
      <c r="Q33" s="10" t="s">
        <v>235</v>
      </c>
      <c r="R33" s="10" t="s">
        <v>58</v>
      </c>
      <c r="S33" s="10" t="s">
        <v>25</v>
      </c>
      <c r="T33" s="2" t="str">
        <f t="shared" si="0"/>
        <v>5080E</v>
      </c>
      <c r="U33" s="2" t="str" cm="1">
        <f t="array" ref="U33">_xlfn.LET(
  _xlpm.ch, TRIM(SUBSTITUTE(G33,CHAR(160),"")),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IF(L33="CLIENTE", O33, IF(LEFT(L33,4)="http", L33, "MACPONTA AGRO DE "&amp;L33)),
  _xlpm.paraBase, IF(M33="CLIENTE", P33, M33),
  _xlpm.paraTxt, IF(LEFT(_xlpm.paraBase,4)="http", _xlpm.paraBase, "MACPONTA AGRO DE "&amp;_xlpm.paraBase),
  _xlpm.nfParte, IF(LEN(TRIM(I33))=0, "", " -NF "&amp;TRIM(I33)),
  "- " &amp; _xlpm.tipotxt &amp; ": *" &amp; G33 &amp; "*" &amp; CHAR(13)&amp;CHAR(10) &amp;
  "- " &amp; _xlpm.dimtxt &amp; CHAR(13)&amp;CHAR(10) &amp;
  "- *Cliente*: " &amp; J33 &amp; _xlpm.nfParte &amp; CHAR(13)&amp;CHAR(10) &amp;
  "- *Obs:* " &amp; O33 &amp; CHAR(13)&amp;CHAR(10) &amp; CHAR(10) &amp;
  "- *De*: " &amp; _xlpm.deTxt &amp; CHAR(13)&amp;CHAR(10) &amp;
  "- *Para*: " &amp; _xlpm.paraTxt &amp; CHAR(13)&amp;CHAR(10) &amp;
  "- *Ida e volta*: +/- " &amp; TEXT(((D33*1.5)/1440),"h:mm") &amp; "h | " &amp; D33 &amp; "km"
)</f>
        <v>- TRATOR: *1BM5080EEP4112594*_x000D_
- A:2,60 x C:4,08 x L:1,45-2,00 x P:5.100kg_x000D_
- *Cliente*: MANUTENÇÃO → JOSE VALCIR MOREIRA DA SILVA -NF 45974_x000D_
- *Obs:* MPA_x000D_
- *De*: MACPONTA AGRO DE IRATI_x000D_
- *Para*: https://maps.app.goo.gl/u6RQ92AcKr5YZVN5A_x000D_
- *Ida e volta*: +/- 2:52h | 115km</v>
      </c>
    </row>
    <row r="34" spans="1:21">
      <c r="A34" s="12" t="s">
        <v>111</v>
      </c>
      <c r="B34" s="10" t="s">
        <v>66</v>
      </c>
      <c r="C34" s="97">
        <f>IFERROR((D34*1.5)/1440, "?")</f>
        <v>0.10312499999999999</v>
      </c>
      <c r="D34" s="10">
        <v>99</v>
      </c>
      <c r="E34" s="98"/>
      <c r="F34" s="99">
        <v>1000</v>
      </c>
      <c r="G34" s="10" t="s">
        <v>236</v>
      </c>
      <c r="H34" s="100">
        <v>45974</v>
      </c>
      <c r="I34" s="101">
        <v>45974</v>
      </c>
      <c r="J34" s="10" t="s">
        <v>237</v>
      </c>
      <c r="K34" s="10" t="s">
        <v>174</v>
      </c>
      <c r="L34" s="10" t="s">
        <v>49</v>
      </c>
      <c r="M34" s="10" t="s">
        <v>115</v>
      </c>
      <c r="N34" s="12" t="s">
        <v>116</v>
      </c>
      <c r="O34" s="10" t="s">
        <v>117</v>
      </c>
      <c r="P34" s="12" t="s">
        <v>238</v>
      </c>
      <c r="Q34" s="10" t="s">
        <v>239</v>
      </c>
      <c r="R34" s="10" t="s">
        <v>49</v>
      </c>
      <c r="S34" s="10" t="s">
        <v>25</v>
      </c>
      <c r="T34" s="2" t="str">
        <f t="shared" si="0"/>
        <v>DN10</v>
      </c>
      <c r="U34" s="2" t="str" cm="1">
        <f t="array" ref="U34">_xlfn.LET(
  _xlpm.ch, TRIM(SUBSTITUTE(G34,CHAR(160),"")),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IF(L34="CLIENTE", O34, IF(LEFT(L34,4)="http", L34, "MACPONTA AGRO DE "&amp;L34)),
  _xlpm.paraBase, IF(M34="CLIENTE", P34, M34),
  _xlpm.paraTxt, IF(LEFT(_xlpm.paraBase,4)="http", _xlpm.paraBase, "MACPONTA AGRO DE "&amp;_xlpm.paraBase),
  _xlpm.nfParte, IF(LEN(TRIM(I34))=0, "", " -NF "&amp;TRIM(I34)),
  "- " &amp; _xlpm.tipotxt &amp; ": *" &amp; G34 &amp; "*" &amp; CHAR(13)&amp;CHAR(10) &amp;
  "- " &amp; _xlpm.dimtxt &amp; CHAR(13)&amp;CHAR(10) &amp;
  "- *Cliente*: " &amp; J34 &amp; _xlpm.nfParte &amp; CHAR(13)&amp;CHAR(10) &amp;
  "- *Obs:* " &amp; O34 &amp; CHAR(13)&amp;CHAR(10) &amp; CHAR(10) &amp;
  "- *De*: " &amp; _xlpm.deTxt &amp; CHAR(13)&amp;CHAR(10) &amp;
  "- *Para*: " &amp; _xlpm.paraTxt &amp; CHAR(13)&amp;CHAR(10) &amp;
  "- *Ida e volta*: +/- " &amp; TEXT(((D34*1.5)/1440),"h:mm") &amp; "h | " &amp; D34 &amp; "km"
)</f>
        <v>- NÃO ENCONTRADO: *1XBDN10BHPP000280*_x000D_
- _x000D_
- *Cliente*: MARLON BONILHA -NF61887 -NF 45974_x000D_
- *Obs:* MPA_x000D_
- *De*: MACPONTA AGRO DE ARAPOTI_x000D_
- *Para*: https://maps.app.goo.gl/w3owGFpERZASWfsU6_x000D_
- *Ida e volta*: +/- 2:28h | 99km</v>
      </c>
    </row>
    <row r="35" spans="1:21">
      <c r="A35" s="12" t="s">
        <v>111</v>
      </c>
      <c r="B35" s="10" t="s">
        <v>77</v>
      </c>
      <c r="C35" s="97">
        <f>IFERROR((D35*1.5)/1440, "?")</f>
        <v>9.375E-2</v>
      </c>
      <c r="D35" s="10">
        <v>90</v>
      </c>
      <c r="E35" s="98"/>
      <c r="F35" s="99">
        <v>430</v>
      </c>
      <c r="G35" s="10"/>
      <c r="H35" s="100">
        <v>45975</v>
      </c>
      <c r="I35" s="101">
        <v>45975</v>
      </c>
      <c r="J35" s="10" t="s">
        <v>124</v>
      </c>
      <c r="K35" s="10" t="s">
        <v>114</v>
      </c>
      <c r="L35" s="10" t="s">
        <v>115</v>
      </c>
      <c r="M35" s="10" t="s">
        <v>58</v>
      </c>
      <c r="N35" s="12" t="s">
        <v>125</v>
      </c>
      <c r="O35" s="10" t="s">
        <v>115</v>
      </c>
      <c r="P35" s="138" t="s">
        <v>117</v>
      </c>
      <c r="Q35" s="10"/>
      <c r="R35" s="10" t="s">
        <v>240</v>
      </c>
      <c r="S35" s="10" t="s">
        <v>25</v>
      </c>
      <c r="T35" s="2" t="str">
        <f t="shared" si="0"/>
        <v/>
      </c>
      <c r="U35" s="2" t="str" cm="1">
        <f t="array" ref="U35">_xlfn.LET(
  _xlpm.ch, TRIM(SUBSTITUTE(G35,CHAR(160),"")),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IF(L35="CLIENTE", O35, IF(LEFT(L35,4)="http", L35, "MACPONTA AGRO DE "&amp;L35)),
  _xlpm.paraBase, IF(M35="CLIENTE", P35, M35),
  _xlpm.paraTxt, IF(LEFT(_xlpm.paraBase,4)="http", _xlpm.paraBase, "MACPONTA AGRO DE "&amp;_xlpm.paraBase),
  _xlpm.nfParte, IF(LEN(TRIM(I35))=0, "", " -NF "&amp;TRIM(I35)),
  "- " &amp; _xlpm.tipotxt &amp; ": *" &amp; G35 &amp; "*" &amp; CHAR(13)&amp;CHAR(10) &amp;
  "- " &amp; _xlpm.dimtxt &amp; CHAR(13)&amp;CHAR(10) &amp;
  "- *Cliente*: " &amp; J35 &amp; _xlpm.nfParte &amp; CHAR(13)&amp;CHAR(10) &amp;
  "- *Obs:* " &amp; O35 &amp; CHAR(13)&amp;CHAR(10) &amp; CHAR(10) &amp;
  "- *De*: " &amp; _xlpm.deTxt &amp; CHAR(13)&amp;CHAR(10) &amp;
  "- *Para*: " &amp; _xlpm.paraTxt &amp; CHAR(13)&amp;CHAR(10) &amp;
  "- *Ida e volta*: +/- " &amp; TEXT(((D35*1.5)/1440),"h:mm") &amp; "h | " &amp; D35 &amp; "km"
)</f>
        <v>- NÃO ENCONTRADO: **_x000D_
- _x000D_
- *Cliente*: CLIENTE → MANUTENÇÃO -NF 45975_x000D_
- *Obs:* CLIENTE_x000D_
- *De*: CLIENTE_x000D_
- *Para*: MACPONTA AGRO DE IRATI_x000D_
- *Ida e volta*: +/- 2:15h | 90km</v>
      </c>
    </row>
    <row r="36" spans="1:21">
      <c r="A36" s="12" t="s">
        <v>111</v>
      </c>
      <c r="B36" s="10" t="s">
        <v>77</v>
      </c>
      <c r="C36" s="97">
        <f>IFERROR((D36*1.5)/1440, "?")</f>
        <v>8.7499999999999994E-2</v>
      </c>
      <c r="D36" s="10">
        <v>84</v>
      </c>
      <c r="E36" s="98"/>
      <c r="F36" s="99">
        <v>450</v>
      </c>
      <c r="G36" s="10" t="s">
        <v>241</v>
      </c>
      <c r="H36" s="100">
        <v>45975</v>
      </c>
      <c r="I36" s="101">
        <v>45975</v>
      </c>
      <c r="J36" s="10" t="s">
        <v>242</v>
      </c>
      <c r="K36" s="10" t="s">
        <v>142</v>
      </c>
      <c r="L36" s="10" t="s">
        <v>58</v>
      </c>
      <c r="M36" s="10" t="s">
        <v>115</v>
      </c>
      <c r="N36" s="12" t="s">
        <v>116</v>
      </c>
      <c r="O36" s="10" t="s">
        <v>117</v>
      </c>
      <c r="P36" s="138" t="s">
        <v>243</v>
      </c>
      <c r="Q36" s="10" t="s">
        <v>244</v>
      </c>
      <c r="R36" s="10" t="s">
        <v>58</v>
      </c>
      <c r="S36" s="10" t="s">
        <v>25</v>
      </c>
      <c r="T36" s="2" t="str">
        <f t="shared" si="0"/>
        <v>5080E</v>
      </c>
      <c r="U36" s="2" t="str" cm="1">
        <f t="array" ref="U36">_xlfn.LET(
  _xlpm.ch, TRIM(SUBSTITUTE(G36,CHAR(160),"")),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IF(L36="CLIENTE", O36, IF(LEFT(L36,4)="http", L36, "MACPONTA AGRO DE "&amp;L36)),
  _xlpm.paraBase, IF(M36="CLIENTE", P36, M36),
  _xlpm.paraTxt, IF(LEFT(_xlpm.paraBase,4)="http", _xlpm.paraBase, "MACPONTA AGRO DE "&amp;_xlpm.paraBase),
  _xlpm.nfParte, IF(LEN(TRIM(I36))=0, "", " -NF "&amp;TRIM(I36)),
  "- " &amp; _xlpm.tipotxt &amp; ": *" &amp; G36 &amp; "*" &amp; CHAR(13)&amp;CHAR(10) &amp;
  "- " &amp; _xlpm.dimtxt &amp; CHAR(13)&amp;CHAR(10) &amp;
  "- *Cliente*: " &amp; J36 &amp; _xlpm.nfParte &amp; CHAR(13)&amp;CHAR(10) &amp;
  "- *Obs:* " &amp; O36 &amp; CHAR(13)&amp;CHAR(10) &amp; CHAR(10) &amp;
  "- *De*: " &amp; _xlpm.deTxt &amp; CHAR(13)&amp;CHAR(10) &amp;
  "- *Para*: " &amp; _xlpm.paraTxt &amp; CHAR(13)&amp;CHAR(10) &amp;
  "- *Ida e volta*: +/- " &amp; TEXT(((D36*1.5)/1440),"h:mm") &amp; "h | " &amp; D36 &amp; "km"
)</f>
        <v>- TRATOR: *1BM5080EKS4204142*_x000D_
- A:2,60 x C:4,08 x L:1,45-2,00 x P:5.100kg_x000D_
- *Cliente*: ANDRE J NASCIMENTO -NF76885 -NF 45975_x000D_
- *Obs:* MPA_x000D_
- *De*: MACPONTA AGRO DE IRATI_x000D_
- *Para*: https://maps.app.goo.gl/VQtNqdXpX1Nn1Cwt8_x000D_
- *Ida e volta*: +/- 2:06h | 84km</v>
      </c>
    </row>
    <row r="37" spans="1:21">
      <c r="A37" s="12" t="s">
        <v>111</v>
      </c>
      <c r="B37" s="10" t="s">
        <v>77</v>
      </c>
      <c r="C37" s="97">
        <f>IFERROR((D37*1.5)/1440, "?")</f>
        <v>0.11041666666666666</v>
      </c>
      <c r="D37" s="10">
        <v>106</v>
      </c>
      <c r="E37" s="98"/>
      <c r="F37" s="99">
        <v>300</v>
      </c>
      <c r="G37" s="10" t="s">
        <v>245</v>
      </c>
      <c r="H37" s="100">
        <v>45975</v>
      </c>
      <c r="I37" s="101">
        <v>45975</v>
      </c>
      <c r="J37" s="10" t="s">
        <v>246</v>
      </c>
      <c r="K37" s="10" t="s">
        <v>142</v>
      </c>
      <c r="L37" s="10" t="s">
        <v>58</v>
      </c>
      <c r="M37" s="10" t="s">
        <v>115</v>
      </c>
      <c r="N37" s="12" t="s">
        <v>116</v>
      </c>
      <c r="O37" s="10" t="s">
        <v>117</v>
      </c>
      <c r="P37" s="138" t="s">
        <v>247</v>
      </c>
      <c r="Q37" s="10" t="s">
        <v>248</v>
      </c>
      <c r="R37" s="10" t="s">
        <v>58</v>
      </c>
      <c r="S37" s="10" t="s">
        <v>25</v>
      </c>
      <c r="T37" s="2" t="str">
        <f t="shared" si="0"/>
        <v>5080E</v>
      </c>
      <c r="U37" s="2" t="str" cm="1">
        <f t="array" ref="U37">_xlfn.LET(
  _xlpm.ch, TRIM(SUBSTITUTE(G37,CHAR(160),"")),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IF(L37="CLIENTE", O37, IF(LEFT(L37,4)="http", L37, "MACPONTA AGRO DE "&amp;L37)),
  _xlpm.paraBase, IF(M37="CLIENTE", P37, M37),
  _xlpm.paraTxt, IF(LEFT(_xlpm.paraBase,4)="http", _xlpm.paraBase, "MACPONTA AGRO DE "&amp;_xlpm.paraBase),
  _xlpm.nfParte, IF(LEN(TRIM(I37))=0, "", " -NF "&amp;TRIM(I37)),
  "- " &amp; _xlpm.tipotxt &amp; ": *" &amp; G37 &amp; "*" &amp; CHAR(13)&amp;CHAR(10) &amp;
  "- " &amp; _xlpm.dimtxt &amp; CHAR(13)&amp;CHAR(10) &amp;
  "- *Cliente*: " &amp; J37 &amp; _xlpm.nfParte &amp; CHAR(13)&amp;CHAR(10) &amp;
  "- *Obs:* " &amp; O37 &amp; CHAR(13)&amp;CHAR(10) &amp; CHAR(10) &amp;
  "- *De*: " &amp; _xlpm.deTxt &amp; CHAR(13)&amp;CHAR(10) &amp;
  "- *Para*: " &amp; _xlpm.paraTxt &amp; CHAR(13)&amp;CHAR(10) &amp;
  "- *Ida e volta*: +/- " &amp; TEXT(((D37*1.5)/1440),"h:mm") &amp; "h | " &amp; D37 &amp; "km"
)</f>
        <v>- TRATOR: *1BM5080EVS4203951*_x000D_
- A:2,60 x C:4,08 x L:1,45-2,00 x P:5.100kg_x000D_
- *Cliente*: TIAGO J KOCHINHERKO -NF76887 -NF 45975_x000D_
- *Obs:* MPA_x000D_
- *De*: MACPONTA AGRO DE IRATI_x000D_
- *Para*: https://maps.app.goo.gl/z97gB1Y9xEQEsjNf6_x000D_
- *Ida e volta*: +/- 2:39h | 106km</v>
      </c>
    </row>
    <row r="38" spans="1:21">
      <c r="A38" s="12" t="s">
        <v>111</v>
      </c>
      <c r="B38" s="10" t="s">
        <v>83</v>
      </c>
      <c r="C38" s="97">
        <f>IFERROR((D38*1.5)/1440, "?")</f>
        <v>0.17291666666666666</v>
      </c>
      <c r="D38" s="10">
        <v>166</v>
      </c>
      <c r="E38" s="98"/>
      <c r="F38" s="99">
        <v>1328</v>
      </c>
      <c r="G38" s="10" t="s">
        <v>249</v>
      </c>
      <c r="H38" s="100">
        <v>45975</v>
      </c>
      <c r="I38" s="101">
        <v>45975</v>
      </c>
      <c r="J38" s="10" t="s">
        <v>250</v>
      </c>
      <c r="K38" s="10" t="s">
        <v>157</v>
      </c>
      <c r="L38" s="10" t="s">
        <v>115</v>
      </c>
      <c r="M38" s="10" t="s">
        <v>49</v>
      </c>
      <c r="N38" s="12" t="s">
        <v>125</v>
      </c>
      <c r="O38" s="168" t="s">
        <v>251</v>
      </c>
      <c r="P38" s="12" t="s">
        <v>117</v>
      </c>
      <c r="Q38" s="10" t="s">
        <v>252</v>
      </c>
      <c r="R38" s="10" t="s">
        <v>49</v>
      </c>
      <c r="S38" s="10" t="s">
        <v>25</v>
      </c>
      <c r="T38" s="2" t="str">
        <f t="shared" si="0"/>
        <v>5080E</v>
      </c>
      <c r="U38" s="2" t="str" cm="1">
        <f t="array" ref="U38">_xlfn.LET(
  _xlpm.ch, TRIM(SUBSTITUTE(G38,CHAR(160),"")),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IF(L38="CLIENTE", O38, IF(LEFT(L38,4)="http", L38, "MACPONTA AGRO DE "&amp;L38)),
  _xlpm.paraBase, IF(M38="CLIENTE", P38, M38),
  _xlpm.paraTxt, IF(LEFT(_xlpm.paraBase,4)="http", _xlpm.paraBase, "MACPONTA AGRO DE "&amp;_xlpm.paraBase),
  _xlpm.nfParte, IF(LEN(TRIM(I38))=0, "", " -NF "&amp;TRIM(I38)),
  "- " &amp; _xlpm.tipotxt &amp; ": *" &amp; G38 &amp; "*" &amp; CHAR(13)&amp;CHAR(10) &amp;
  "- " &amp; _xlpm.dimtxt &amp; CHAR(13)&amp;CHAR(10) &amp;
  "- *Cliente*: " &amp; J38 &amp; _xlpm.nfParte &amp; CHAR(13)&amp;CHAR(10) &amp;
  "- *Obs:* " &amp; O38 &amp; CHAR(13)&amp;CHAR(10) &amp; CHAR(10) &amp;
  "- *De*: " &amp; _xlpm.deTxt &amp; CHAR(13)&amp;CHAR(10) &amp;
  "- *Para*: " &amp; _xlpm.paraTxt &amp; CHAR(13)&amp;CHAR(10) &amp;
  "- *Ida e volta*: +/- " &amp; TEXT(((D38*1.5)/1440),"h:mm") &amp; "h | " &amp; D38 &amp; "km"
)</f>
        <v>- TRATOR: *1BM5080EJN4108551*_x000D_
- A:2,60 x C:4,08 x L:1,45-2,00 x P:5.100kg_x000D_
- *Cliente*: ADILSON P FURTADO -NF? -NF 45975_x000D_
- *Obs:* https://maps.app.goo.gl/tLcmyZnTmDtxQsvb6_x000D_
- *De*: https://maps.app.goo.gl/tLcmyZnTmDtxQsvb6_x000D_
- *Para*: MACPONTA AGRO DE ARAPOTI_x000D_
- *Ida e volta*: +/- 4:09h | 166km</v>
      </c>
    </row>
    <row r="39" spans="1:21">
      <c r="A39" s="12" t="s">
        <v>111</v>
      </c>
      <c r="B39" s="10" t="s">
        <v>48</v>
      </c>
      <c r="C39" s="97">
        <f>IFERROR((D39*1.5)/1440, "?")</f>
        <v>0.4375</v>
      </c>
      <c r="D39" s="10">
        <v>420</v>
      </c>
      <c r="E39" s="98"/>
      <c r="F39" s="99">
        <v>3662.3</v>
      </c>
      <c r="G39" s="10" t="s">
        <v>253</v>
      </c>
      <c r="H39" s="100">
        <v>45975</v>
      </c>
      <c r="I39" s="101">
        <v>45975</v>
      </c>
      <c r="J39" s="10" t="s">
        <v>254</v>
      </c>
      <c r="K39" s="10" t="s">
        <v>185</v>
      </c>
      <c r="L39" s="10" t="s">
        <v>131</v>
      </c>
      <c r="M39" s="10" t="s">
        <v>115</v>
      </c>
      <c r="N39" s="12" t="s">
        <v>116</v>
      </c>
      <c r="O39" s="10" t="s">
        <v>117</v>
      </c>
      <c r="P39" s="137" t="s">
        <v>255</v>
      </c>
      <c r="Q39" s="10" t="s">
        <v>256</v>
      </c>
      <c r="R39" s="10" t="s">
        <v>59</v>
      </c>
      <c r="S39" s="10" t="s">
        <v>25</v>
      </c>
      <c r="T39" s="2" t="str">
        <f t="shared" si="0"/>
        <v>6100J</v>
      </c>
      <c r="U39" s="2" t="str" cm="1">
        <f t="array" ref="U39">_xlfn.LET(
  _xlpm.ch, TRIM(SUBSTITUTE(G39,CHAR(160),"")),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IF(L39="CLIENTE", O39, IF(LEFT(L39,4)="http", L39, "MACPONTA AGRO DE "&amp;L39)),
  _xlpm.paraBase, IF(M39="CLIENTE", P39, M39),
  _xlpm.paraTxt, IF(LEFT(_xlpm.paraBase,4)="http", _xlpm.paraBase, "MACPONTA AGRO DE "&amp;_xlpm.paraBase),
  _xlpm.nfParte, IF(LEN(TRIM(I39))=0, "", " -NF "&amp;TRIM(I39)),
  "- " &amp; _xlpm.tipotxt &amp; ": *" &amp; G39 &amp; "*" &amp; CHAR(13)&amp;CHAR(10) &amp;
  "- " &amp; _xlpm.dimtxt &amp; CHAR(13)&amp;CHAR(10) &amp;
  "- *Cliente*: " &amp; J39 &amp; _xlpm.nfParte &amp; CHAR(13)&amp;CHAR(10) &amp;
  "- *Obs:* " &amp; O39 &amp; CHAR(13)&amp;CHAR(10) &amp; CHAR(10) &amp;
  "- *De*: " &amp; _xlpm.deTxt &amp; CHAR(13)&amp;CHAR(10) &amp;
  "- *Para*: " &amp; _xlpm.paraTxt &amp; CHAR(13)&amp;CHAR(10) &amp;
  "- *Ida e volta*: +/- " &amp; TEXT(((D39*1.5)/1440),"h:mm") &amp; "h | " &amp; D39 &amp; "km"
)</f>
        <v>- TRATOR: *1BM6100JCSD602163*_x000D_
- A:2,72 x C:4,56 x L:2,50-3,30 x P:5.600kg_x000D_
- *Cliente*: RONALDO RABBERS -NF109962 -NF 45975_x000D_
- *Obs:* MPA_x000D_
- *De*: MACPONTA AGRO DE GUARAPUAVA_x000D_
- *Para*: https://maps.app.goo.gl/6skd9a23gozJLC8q6?g_st=aw_x000D_
- *Ida e volta*: +/- 10:30h | 420km</v>
      </c>
    </row>
    <row r="40" spans="1:21">
      <c r="A40" s="12" t="s">
        <v>177</v>
      </c>
      <c r="B40" s="10" t="s">
        <v>55</v>
      </c>
      <c r="C40" s="97">
        <f>IFERROR((D40*1.5)/1440, "?")</f>
        <v>0.31874999999999998</v>
      </c>
      <c r="D40" s="10">
        <v>306</v>
      </c>
      <c r="E40" s="98">
        <f>IFERROR((D40*6),"?")</f>
        <v>1836</v>
      </c>
      <c r="F40" s="99"/>
      <c r="G40" s="10" t="s">
        <v>257</v>
      </c>
      <c r="H40" s="100">
        <v>45975</v>
      </c>
      <c r="I40" s="101">
        <v>45975</v>
      </c>
      <c r="J40" s="10" t="s">
        <v>258</v>
      </c>
      <c r="K40" s="10" t="s">
        <v>174</v>
      </c>
      <c r="L40" s="10" t="s">
        <v>49</v>
      </c>
      <c r="M40" s="10" t="s">
        <v>115</v>
      </c>
      <c r="N40" s="12" t="s">
        <v>259</v>
      </c>
      <c r="O40" s="10" t="s">
        <v>117</v>
      </c>
      <c r="P40" s="137" t="s">
        <v>260</v>
      </c>
      <c r="Q40" s="10" t="s">
        <v>261</v>
      </c>
      <c r="R40" s="10" t="s">
        <v>49</v>
      </c>
      <c r="S40" s="10" t="s">
        <v>25</v>
      </c>
      <c r="T40" s="2" t="str">
        <f t="shared" si="0"/>
        <v>5080E</v>
      </c>
      <c r="U40" s="2" t="str" cm="1">
        <f t="array" ref="U40">_xlfn.LET(
  _xlpm.ch, TRIM(SUBSTITUTE(G40,CHAR(160),"")),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IF(L40="CLIENTE", O40, IF(LEFT(L40,4)="http", L40, "MACPONTA AGRO DE "&amp;L40)),
  _xlpm.paraBase, IF(M40="CLIENTE", P40, M40),
  _xlpm.paraTxt, IF(LEFT(_xlpm.paraBase,4)="http", _xlpm.paraBase, "MACPONTA AGRO DE "&amp;_xlpm.paraBase),
  _xlpm.nfParte, IF(LEN(TRIM(I40))=0, "", " -NF "&amp;TRIM(I40)),
  "- " &amp; _xlpm.tipotxt &amp; ": *" &amp; G40 &amp; "*" &amp; CHAR(13)&amp;CHAR(10) &amp;
  "- " &amp; _xlpm.dimtxt &amp; CHAR(13)&amp;CHAR(10) &amp;
  "- *Cliente*: " &amp; J40 &amp; _xlpm.nfParte &amp; CHAR(13)&amp;CHAR(10) &amp;
  "- *Obs:* " &amp; O40 &amp; CHAR(13)&amp;CHAR(10) &amp; CHAR(10) &amp;
  "- *De*: " &amp; _xlpm.deTxt &amp; CHAR(13)&amp;CHAR(10) &amp;
  "- *Para*: " &amp; _xlpm.paraTxt &amp; CHAR(13)&amp;CHAR(10) &amp;
  "- *Ida e volta*: +/- " &amp; TEXT(((D40*1.5)/1440),"h:mm") &amp; "h | " &amp; D40 &amp; "km"
)</f>
        <v>- TRATOR: *1BM5080ETS6204305*_x000D_
- A:2,60 x C:4,08 x L:1,45-2,00 x P:5.100kg_x000D_
- *Cliente*: SILO DO MALOCA -NF61894 -NF 45975_x000D_
- *Obs:* MPA_x000D_
- *De*: MACPONTA AGRO DE ARAPOTI_x000D_
- *Para*: https://maps.app.goo.gl/TYsDXWU4kqkeGb8D6_x000D_
- *Ida e volta*: +/- 7:39h | 306km</v>
      </c>
    </row>
    <row r="41" spans="1:21">
      <c r="A41" s="12" t="s">
        <v>177</v>
      </c>
      <c r="B41" s="10" t="s">
        <v>55</v>
      </c>
      <c r="C41" s="97">
        <f>IFERROR((D41*1.5)/1440, "?")</f>
        <v>0.31874999999999998</v>
      </c>
      <c r="D41" s="10">
        <v>306</v>
      </c>
      <c r="E41" s="98">
        <f>IFERROR((D41*6),"?")</f>
        <v>1836</v>
      </c>
      <c r="F41" s="99"/>
      <c r="G41" s="10" t="s">
        <v>262</v>
      </c>
      <c r="H41" s="100">
        <v>45975</v>
      </c>
      <c r="I41" s="101">
        <v>45975</v>
      </c>
      <c r="J41" s="10" t="s">
        <v>258</v>
      </c>
      <c r="K41" s="10" t="s">
        <v>174</v>
      </c>
      <c r="L41" s="10" t="s">
        <v>49</v>
      </c>
      <c r="M41" s="10" t="s">
        <v>115</v>
      </c>
      <c r="N41" s="12" t="s">
        <v>259</v>
      </c>
      <c r="O41" s="10" t="s">
        <v>117</v>
      </c>
      <c r="P41" s="137" t="s">
        <v>260</v>
      </c>
      <c r="Q41" s="10" t="s">
        <v>261</v>
      </c>
      <c r="R41" s="10" t="s">
        <v>49</v>
      </c>
      <c r="S41" s="10" t="s">
        <v>25</v>
      </c>
      <c r="T41" s="2" t="str">
        <f t="shared" si="0"/>
        <v>5080E</v>
      </c>
      <c r="U41" s="2" t="str" cm="1">
        <f t="array" ref="U41">_xlfn.LET(
  _xlpm.ch, TRIM(SUBSTITUTE(G41,CHAR(160),"")),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IF(L41="CLIENTE", O41, IF(LEFT(L41,4)="http", L41, "MACPONTA AGRO DE "&amp;L41)),
  _xlpm.paraBase, IF(M41="CLIENTE", P41, M41),
  _xlpm.paraTxt, IF(LEFT(_xlpm.paraBase,4)="http", _xlpm.paraBase, "MACPONTA AGRO DE "&amp;_xlpm.paraBase),
  _xlpm.nfParte, IF(LEN(TRIM(I41))=0, "", " -NF "&amp;TRIM(I41)),
  "- " &amp; _xlpm.tipotxt &amp; ": *" &amp; G41 &amp; "*" &amp; CHAR(13)&amp;CHAR(10) &amp;
  "- " &amp; _xlpm.dimtxt &amp; CHAR(13)&amp;CHAR(10) &amp;
  "- *Cliente*: " &amp; J41 &amp; _xlpm.nfParte &amp; CHAR(13)&amp;CHAR(10) &amp;
  "- *Obs:* " &amp; O41 &amp; CHAR(13)&amp;CHAR(10) &amp; CHAR(10) &amp;
  "- *De*: " &amp; _xlpm.deTxt &amp; CHAR(13)&amp;CHAR(10) &amp;
  "- *Para*: " &amp; _xlpm.paraTxt &amp; CHAR(13)&amp;CHAR(10) &amp;
  "- *Ida e volta*: +/- " &amp; TEXT(((D41*1.5)/1440),"h:mm") &amp; "h | " &amp; D41 &amp; "km"
)</f>
        <v>- TRATOR: *1BM5080EVS4204226*_x000D_
- A:2,60 x C:4,08 x L:1,45-2,00 x P:5.100kg_x000D_
- *Cliente*: SILO DO MALOCA -NF61894 -NF 45975_x000D_
- *Obs:* MPA_x000D_
- *De*: MACPONTA AGRO DE ARAPOTI_x000D_
- *Para*: https://maps.app.goo.gl/TYsDXWU4kqkeGb8D6_x000D_
- *Ida e volta*: +/- 7:39h | 306km</v>
      </c>
    </row>
    <row r="42" spans="1:21">
      <c r="A42" s="12" t="s">
        <v>177</v>
      </c>
      <c r="B42" s="10" t="s">
        <v>71</v>
      </c>
      <c r="C42" s="97">
        <f>IFERROR((D42*1.5)/1440, "?")</f>
        <v>0.49791666666666667</v>
      </c>
      <c r="D42" s="10">
        <v>478</v>
      </c>
      <c r="E42" s="98"/>
      <c r="F42" s="99">
        <v>1600</v>
      </c>
      <c r="G42" s="10" t="s">
        <v>263</v>
      </c>
      <c r="H42" s="100">
        <v>45975</v>
      </c>
      <c r="I42" s="101">
        <v>45975</v>
      </c>
      <c r="J42" s="10" t="s">
        <v>258</v>
      </c>
      <c r="K42" s="10" t="s">
        <v>174</v>
      </c>
      <c r="L42" s="10" t="s">
        <v>58</v>
      </c>
      <c r="M42" s="10" t="s">
        <v>115</v>
      </c>
      <c r="N42" s="12" t="s">
        <v>259</v>
      </c>
      <c r="O42" s="10" t="s">
        <v>117</v>
      </c>
      <c r="P42" s="137" t="s">
        <v>260</v>
      </c>
      <c r="Q42" s="10" t="s">
        <v>261</v>
      </c>
      <c r="R42" s="10" t="s">
        <v>49</v>
      </c>
      <c r="S42" s="10" t="s">
        <v>23</v>
      </c>
      <c r="T42" s="2" t="str">
        <f t="shared" si="0"/>
        <v>FA25</v>
      </c>
      <c r="U42" s="2" t="str" cm="1">
        <f t="array" ref="U42">_xlfn.LET(
  _xlpm.ch, TRIM(SUBSTITUTE(G42,CHAR(160),"")),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IF(L42="CLIENTE", O42, IF(LEFT(L42,4)="http", L42, "MACPONTA AGRO DE "&amp;L42)),
  _xlpm.paraBase, IF(M42="CLIENTE", P42, M42),
  _xlpm.paraTxt, IF(LEFT(_xlpm.paraBase,4)="http", _xlpm.paraBase, "MACPONTA AGRO DE "&amp;_xlpm.paraBase),
  _xlpm.nfParte, IF(LEN(TRIM(I42))=0, "", " -NF "&amp;TRIM(I42)),
  "- " &amp; _xlpm.tipotxt &amp; ": *" &amp; G42 &amp; "*" &amp; CHAR(13)&amp;CHAR(10) &amp;
  "- " &amp; _xlpm.dimtxt &amp; CHAR(13)&amp;CHAR(10) &amp;
  "- *Cliente*: " &amp; J42 &amp; _xlpm.nfParte &amp; CHAR(13)&amp;CHAR(10) &amp;
  "- *Obs:* " &amp; O42 &amp; CHAR(13)&amp;CHAR(10) &amp; CHAR(10) &amp;
  "- *De*: " &amp; _xlpm.deTxt &amp; CHAR(13)&amp;CHAR(10) &amp;
  "- *Para*: " &amp; _xlpm.paraTxt &amp; CHAR(13)&amp;CHAR(10) &amp;
  "- *Ida e volta*: +/- " &amp; TEXT(((D42*1.5)/1440),"h:mm") &amp; "h | " &amp; D42 &amp; "km"
)</f>
        <v>- PLATAFORMA: *1CQFA25APS0160156*_x000D_
- A:1,60 x C:7,60 x L:1,80-1,80 x P:2.100kg_x000D_
- *Cliente*: SILO DO MALOCA -NF61894 -NF 45975_x000D_
- *Obs:* MPA_x000D_
- *De*: MACPONTA AGRO DE IRATI_x000D_
- *Para*: https://maps.app.goo.gl/TYsDXWU4kqkeGb8D6_x000D_
- *Ida e volta*: +/- 11:57h | 478km</v>
      </c>
    </row>
    <row r="43" spans="1:21">
      <c r="A43" s="12" t="s">
        <v>177</v>
      </c>
      <c r="B43" s="10" t="s">
        <v>71</v>
      </c>
      <c r="C43" s="97">
        <f>IFERROR((D43*1.5)/1440, "?")</f>
        <v>0.49791666666666667</v>
      </c>
      <c r="D43" s="10">
        <v>478</v>
      </c>
      <c r="E43" s="98"/>
      <c r="F43" s="99">
        <v>3800</v>
      </c>
      <c r="G43" s="10" t="s">
        <v>264</v>
      </c>
      <c r="H43" s="100">
        <v>45975</v>
      </c>
      <c r="I43" s="101">
        <v>45975</v>
      </c>
      <c r="J43" s="10" t="s">
        <v>258</v>
      </c>
      <c r="K43" s="10" t="s">
        <v>174</v>
      </c>
      <c r="L43" s="10" t="s">
        <v>58</v>
      </c>
      <c r="M43" s="10" t="s">
        <v>115</v>
      </c>
      <c r="N43" s="12" t="s">
        <v>259</v>
      </c>
      <c r="O43" s="10" t="s">
        <v>117</v>
      </c>
      <c r="P43" s="137" t="s">
        <v>260</v>
      </c>
      <c r="Q43" s="10" t="s">
        <v>261</v>
      </c>
      <c r="R43" s="10" t="s">
        <v>49</v>
      </c>
      <c r="S43" s="10" t="s">
        <v>21</v>
      </c>
      <c r="T43" s="2" t="str">
        <f t="shared" si="0"/>
        <v>S440</v>
      </c>
      <c r="U43" s="2" t="str" cm="1">
        <f t="array" ref="U43">_xlfn.LET(
  _xlpm.ch, TRIM(SUBSTITUTE(G43,CHAR(160),"")),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IF(L43="CLIENTE", O43, IF(LEFT(L43,4)="http", L43, "MACPONTA AGRO DE "&amp;L43)),
  _xlpm.paraBase, IF(M43="CLIENTE", P43, M43),
  _xlpm.paraTxt, IF(LEFT(_xlpm.paraBase,4)="http", _xlpm.paraBase, "MACPONTA AGRO DE "&amp;_xlpm.paraBase),
  _xlpm.nfParte, IF(LEN(TRIM(I43))=0, "", " -NF "&amp;TRIM(I43)),
  "- " &amp; _xlpm.tipotxt &amp; ": *" &amp; G43 &amp; "*" &amp; CHAR(13)&amp;CHAR(10) &amp;
  "- " &amp; _xlpm.dimtxt &amp; CHAR(13)&amp;CHAR(10) &amp;
  "- *Cliente*: " &amp; J43 &amp; _xlpm.nfParte &amp; CHAR(13)&amp;CHAR(10) &amp;
  "- *Obs:* " &amp; O43 &amp; CHAR(13)&amp;CHAR(10) &amp; CHAR(10) &amp;
  "- *De*: " &amp; _xlpm.deTxt &amp; CHAR(13)&amp;CHAR(10) &amp;
  "- *Para*: " &amp; _xlpm.paraTxt &amp; CHAR(13)&amp;CHAR(10) &amp;
  "- *Ida e volta*: +/- " &amp; TEXT(((D43*1.5)/1440),"h:mm") &amp; "h | " &amp; D43 &amp; "km"
)</f>
        <v>- COLHEITADEIRA: *1CQS440ACS0155147*_x000D_
- A:4,10 x C:7,70 x L:3,40-4,10 x P:11.800kg_x000D_
- *Cliente*: SILO DO MALOCA -NF61894 -NF 45975_x000D_
- *Obs:* MPA_x000D_
- *De*: MACPONTA AGRO DE IRATI_x000D_
- *Para*: https://maps.app.goo.gl/TYsDXWU4kqkeGb8D6_x000D_
- *Ida e volta*: +/- 11:57h | 478km</v>
      </c>
    </row>
    <row r="44" spans="1:21">
      <c r="A44" s="12" t="s">
        <v>177</v>
      </c>
      <c r="B44" s="10" t="s">
        <v>55</v>
      </c>
      <c r="C44" s="97">
        <f>IFERROR((D44*1.5)/1440, "?")</f>
        <v>0.31874999999999998</v>
      </c>
      <c r="D44" s="10">
        <v>306</v>
      </c>
      <c r="E44" s="98">
        <f>IFERROR((D44*6),"?")</f>
        <v>1836</v>
      </c>
      <c r="F44" s="99"/>
      <c r="G44" s="10" t="s">
        <v>257</v>
      </c>
      <c r="H44" s="100">
        <v>45978</v>
      </c>
      <c r="I44" s="101">
        <v>45978</v>
      </c>
      <c r="J44" s="139" t="s">
        <v>265</v>
      </c>
      <c r="K44" s="10" t="s">
        <v>174</v>
      </c>
      <c r="L44" s="10" t="s">
        <v>49</v>
      </c>
      <c r="M44" s="10" t="s">
        <v>115</v>
      </c>
      <c r="N44" s="12" t="s">
        <v>259</v>
      </c>
      <c r="O44" s="10" t="s">
        <v>117</v>
      </c>
      <c r="P44" s="102" t="s">
        <v>260</v>
      </c>
      <c r="Q44" s="10" t="s">
        <v>261</v>
      </c>
      <c r="R44" s="10" t="s">
        <v>49</v>
      </c>
      <c r="S44" s="10" t="s">
        <v>25</v>
      </c>
      <c r="T44" s="2" t="str">
        <f t="shared" si="0"/>
        <v>5080E</v>
      </c>
      <c r="U44" s="2" t="str" cm="1">
        <f t="array" ref="U44">_xlfn.LET(
  _xlpm.ch, TRIM(SUBSTITUTE(G44,CHAR(160),"")),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IF(L44="CLIENTE", O44, IF(LEFT(L44,4)="http", L44, "MACPONTA AGRO DE "&amp;L44)),
  _xlpm.paraBase, IF(M44="CLIENTE", P44, M44),
  _xlpm.paraTxt, IF(LEFT(_xlpm.paraBase,4)="http", _xlpm.paraBase, "MACPONTA AGRO DE "&amp;_xlpm.paraBase),
  _xlpm.nfParte, IF(LEN(TRIM(I44))=0, "", " -NF "&amp;TRIM(I44)),
  "- " &amp; _xlpm.tipotxt &amp; ": *" &amp; G44 &amp; "*" &amp; CHAR(13)&amp;CHAR(10) &amp;
  "- " &amp; _xlpm.dimtxt &amp; CHAR(13)&amp;CHAR(10) &amp;
  "- *Cliente*: " &amp; J44 &amp; _xlpm.nfParte &amp; CHAR(13)&amp;CHAR(10) &amp;
  "- *Obs:* " &amp; O44 &amp; CHAR(13)&amp;CHAR(10) &amp; CHAR(10) &amp;
  "- *De*: " &amp; _xlpm.deTxt &amp; CHAR(13)&amp;CHAR(10) &amp;
  "- *Para*: " &amp; _xlpm.paraTxt &amp; CHAR(13)&amp;CHAR(10) &amp;
  "- *Ida e volta*: +/- " &amp; TEXT(((D44*1.5)/1440),"h:mm") &amp; "h | " &amp; D44 &amp; "km"
)</f>
        <v>- TRATOR: *1BM5080ETS6204305*_x000D_
- A:2,60 x C:4,08 x L:1,45-2,00 x P:5.100kg_x000D_
- *Cliente*: SILO DO MALOCA -NF61894 VOLTA -NF 45978_x000D_
- *Obs:* MPA_x000D_
- *De*: MACPONTA AGRO DE ARAPOTI_x000D_
- *Para*: https://maps.app.goo.gl/TYsDXWU4kqkeGb8D6_x000D_
- *Ida e volta*: +/- 7:39h | 306km</v>
      </c>
    </row>
    <row r="45" spans="1:21">
      <c r="A45" s="12" t="s">
        <v>177</v>
      </c>
      <c r="B45" s="10" t="s">
        <v>55</v>
      </c>
      <c r="C45" s="97">
        <f>IFERROR((D45*1.5)/1440, "?")</f>
        <v>0.31874999999999998</v>
      </c>
      <c r="D45" s="10">
        <v>306</v>
      </c>
      <c r="E45" s="98">
        <f>IFERROR((D45*6),"?")</f>
        <v>1836</v>
      </c>
      <c r="F45" s="99"/>
      <c r="G45" s="10" t="s">
        <v>262</v>
      </c>
      <c r="H45" s="100">
        <v>45978</v>
      </c>
      <c r="I45" s="101">
        <v>45978</v>
      </c>
      <c r="J45" s="139" t="s">
        <v>265</v>
      </c>
      <c r="K45" s="10" t="s">
        <v>174</v>
      </c>
      <c r="L45" s="10" t="s">
        <v>49</v>
      </c>
      <c r="M45" s="10" t="s">
        <v>115</v>
      </c>
      <c r="N45" s="12" t="s">
        <v>259</v>
      </c>
      <c r="O45" s="10" t="s">
        <v>117</v>
      </c>
      <c r="P45" s="102" t="s">
        <v>260</v>
      </c>
      <c r="Q45" s="10" t="s">
        <v>261</v>
      </c>
      <c r="R45" s="10" t="s">
        <v>49</v>
      </c>
      <c r="S45" s="10" t="s">
        <v>25</v>
      </c>
      <c r="T45" s="2" t="str">
        <f t="shared" si="0"/>
        <v>5080E</v>
      </c>
      <c r="U45" s="2" t="str" cm="1">
        <f t="array" ref="U45">_xlfn.LET(
  _xlpm.ch, TRIM(SUBSTITUTE(G45,CHAR(160),"")),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IF(L45="CLIENTE", O45, IF(LEFT(L45,4)="http", L45, "MACPONTA AGRO DE "&amp;L45)),
  _xlpm.paraBase, IF(M45="CLIENTE", P45, M45),
  _xlpm.paraTxt, IF(LEFT(_xlpm.paraBase,4)="http", _xlpm.paraBase, "MACPONTA AGRO DE "&amp;_xlpm.paraBase),
  _xlpm.nfParte, IF(LEN(TRIM(I45))=0, "", " -NF "&amp;TRIM(I45)),
  "- " &amp; _xlpm.tipotxt &amp; ": *" &amp; G45 &amp; "*" &amp; CHAR(13)&amp;CHAR(10) &amp;
  "- " &amp; _xlpm.dimtxt &amp; CHAR(13)&amp;CHAR(10) &amp;
  "- *Cliente*: " &amp; J45 &amp; _xlpm.nfParte &amp; CHAR(13)&amp;CHAR(10) &amp;
  "- *Obs:* " &amp; O45 &amp; CHAR(13)&amp;CHAR(10) &amp; CHAR(10) &amp;
  "- *De*: " &amp; _xlpm.deTxt &amp; CHAR(13)&amp;CHAR(10) &amp;
  "- *Para*: " &amp; _xlpm.paraTxt &amp; CHAR(13)&amp;CHAR(10) &amp;
  "- *Ida e volta*: +/- " &amp; TEXT(((D45*1.5)/1440),"h:mm") &amp; "h | " &amp; D45 &amp; "km"
)</f>
        <v>- TRATOR: *1BM5080EVS4204226*_x000D_
- A:2,60 x C:4,08 x L:1,45-2,00 x P:5.100kg_x000D_
- *Cliente*: SILO DO MALOCA -NF61894 VOLTA -NF 45978_x000D_
- *Obs:* MPA_x000D_
- *De*: MACPONTA AGRO DE ARAPOTI_x000D_
- *Para*: https://maps.app.goo.gl/TYsDXWU4kqkeGb8D6_x000D_
- *Ida e volta*: +/- 7:39h | 306km</v>
      </c>
    </row>
    <row r="46" spans="1:21">
      <c r="A46" s="12" t="s">
        <v>177</v>
      </c>
      <c r="B46" s="10" t="s">
        <v>55</v>
      </c>
      <c r="C46" s="97">
        <f>IFERROR((D46*1.5)/1440, "?")</f>
        <v>0.20833333333333334</v>
      </c>
      <c r="D46" s="10">
        <v>200</v>
      </c>
      <c r="E46" s="98">
        <f>IFERROR((D46*6),"?")</f>
        <v>1200</v>
      </c>
      <c r="F46" s="99"/>
      <c r="G46" s="10" t="s">
        <v>266</v>
      </c>
      <c r="H46" s="100">
        <v>45979</v>
      </c>
      <c r="I46" s="101">
        <v>45979</v>
      </c>
      <c r="J46" s="10" t="s">
        <v>267</v>
      </c>
      <c r="K46" s="10" t="s">
        <v>174</v>
      </c>
      <c r="L46" s="10" t="s">
        <v>115</v>
      </c>
      <c r="M46" s="10" t="s">
        <v>115</v>
      </c>
      <c r="N46" s="12" t="s">
        <v>268</v>
      </c>
      <c r="O46" s="10"/>
      <c r="P46" s="137" t="s">
        <v>269</v>
      </c>
      <c r="Q46" s="10"/>
      <c r="R46" s="10" t="s">
        <v>49</v>
      </c>
      <c r="S46" s="10" t="s">
        <v>25</v>
      </c>
      <c r="T46" s="2" t="str">
        <f t="shared" si="0"/>
        <v>7230C</v>
      </c>
      <c r="U46" s="2" t="str" cm="1">
        <f t="array" ref="U46">_xlfn.LET(
  _xlpm.ch, TRIM(SUBSTITUTE(G46,CHAR(160),"")),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IF(L46="CLIENTE", O46, IF(LEFT(L46,4)="http", L46, "MACPONTA AGRO DE "&amp;L46)),
  _xlpm.paraBase, IF(M46="CLIENTE", P46, M46),
  _xlpm.paraTxt, IF(LEFT(_xlpm.paraBase,4)="http", _xlpm.paraBase, "MACPONTA AGRO DE "&amp;_xlpm.paraBase),
  _xlpm.nfParte, IF(LEN(TRIM(I46))=0, "", " -NF "&amp;TRIM(I46)),
  "- " &amp; _xlpm.tipotxt &amp; ": *" &amp; G46 &amp; "*" &amp; CHAR(13)&amp;CHAR(10) &amp;
  "- " &amp; _xlpm.dimtxt &amp; CHAR(13)&amp;CHAR(10) &amp;
  "- *Cliente*: " &amp; J46 &amp; _xlpm.nfParte &amp; CHAR(13)&amp;CHAR(10) &amp;
  "- *Obs:* " &amp; O46 &amp; CHAR(13)&amp;CHAR(10) &amp; CHAR(10) &amp;
  "- *De*: " &amp; _xlpm.deTxt &amp; CHAR(13)&amp;CHAR(10) &amp;
  "- *Para*: " &amp; _xlpm.paraTxt &amp; CHAR(13)&amp;CHAR(10) &amp;
  "- *Ida e volta*: +/- " &amp; TEXT(((D46*1.5)/1440),"h:mm") &amp; "h | " &amp; D46 &amp; "km"
)</f>
        <v>- NÃO ENCONTRADO: *1BM7230CVS3001962*_x000D_
- _x000D_
- *Cliente*: FAZENDINHA -NF61895 -NF 45979_x000D_
- *Obs:* _x000D_
- *De*: _x000D_
- *Para*: https://maps.app.goo.gl/HAQzMitpSPVxhKFi9_x000D_
- *Ida e volta*: +/- 5:00h | 200km</v>
      </c>
    </row>
    <row r="47" spans="1:21">
      <c r="A47" s="12" t="s">
        <v>111</v>
      </c>
      <c r="B47" s="10" t="s">
        <v>57</v>
      </c>
      <c r="C47" s="97">
        <f>IFERROR((D47*1.5)/1440, "?")</f>
        <v>0.76354166666666667</v>
      </c>
      <c r="D47" s="10">
        <v>733</v>
      </c>
      <c r="E47" s="98"/>
      <c r="F47" s="99">
        <v>9600</v>
      </c>
      <c r="G47" s="10" t="s">
        <v>270</v>
      </c>
      <c r="H47" s="100">
        <v>45979</v>
      </c>
      <c r="I47" s="101">
        <v>45979</v>
      </c>
      <c r="J47" s="10" t="s">
        <v>271</v>
      </c>
      <c r="K47" s="10" t="s">
        <v>130</v>
      </c>
      <c r="L47" s="10" t="s">
        <v>131</v>
      </c>
      <c r="M47" s="10" t="s">
        <v>115</v>
      </c>
      <c r="N47" s="12" t="s">
        <v>116</v>
      </c>
      <c r="O47" s="10" t="s">
        <v>117</v>
      </c>
      <c r="P47" s="138" t="s">
        <v>272</v>
      </c>
      <c r="Q47" s="10" t="s">
        <v>273</v>
      </c>
      <c r="R47" s="10" t="s">
        <v>131</v>
      </c>
      <c r="S47" s="10" t="s">
        <v>24</v>
      </c>
      <c r="T47" s="2" t="str">
        <f t="shared" si="0"/>
        <v>4030</v>
      </c>
      <c r="U47" s="2" t="str" cm="1">
        <f t="array" ref="U47">_xlfn.LET(
  _xlpm.ch, TRIM(SUBSTITUTE(G47,CHAR(160),"")),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IF(L47="CLIENTE", O47, IF(LEFT(L47,4)="http", L47, "MACPONTA AGRO DE "&amp;L47)),
  _xlpm.paraBase, IF(M47="CLIENTE", P47, M47),
  _xlpm.paraTxt, IF(LEFT(_xlpm.paraBase,4)="http", _xlpm.paraBase, "MACPONTA AGRO DE "&amp;_xlpm.paraBase),
  _xlpm.nfParte, IF(LEN(TRIM(I47))=0, "", " -NF "&amp;TRIM(I47)),
  "- " &amp; _xlpm.tipotxt &amp; ": *" &amp; G47 &amp; "*" &amp; CHAR(13)&amp;CHAR(10) &amp;
  "- " &amp; _xlpm.dimtxt &amp; CHAR(13)&amp;CHAR(10) &amp;
  "- *Cliente*: " &amp; J47 &amp; _xlpm.nfParte &amp; CHAR(13)&amp;CHAR(10) &amp;
  "- *Obs:* " &amp; O47 &amp; CHAR(13)&amp;CHAR(10) &amp; CHAR(10) &amp;
  "- *De*: " &amp; _xlpm.deTxt &amp; CHAR(13)&amp;CHAR(10) &amp;
  "- *Para*: " &amp; _xlpm.paraTxt &amp; CHAR(13)&amp;CHAR(10) &amp;
  "- *Ida e volta*: +/- " &amp; TEXT(((D47*1.5)/1440),"h:mm") &amp; "h | " &amp; D47 &amp; "km"
)</f>
        <v>- NÃO ENCONTRADO: *1NW4030MES0250870*_x000D_
- _x000D_
- *Cliente*: VIKTOR LEH -NF107863 - AET ESP+ESCOLTA -NF 45979_x000D_
- *Obs:* MPA_x000D_
- *De*: MACPONTA AGRO DE GUARAPUAVA_x000D_
- *Para*: https://maps.app.goo.gl/CR8ypB1Pd9ZCuWzE6_x000D_
- *Ida e volta*: +/- 18:19h | 733km</v>
      </c>
    </row>
    <row r="48" spans="1:21" ht="14.45">
      <c r="A48" s="12" t="s">
        <v>177</v>
      </c>
      <c r="B48" s="10" t="s">
        <v>66</v>
      </c>
      <c r="C48" s="97">
        <f>IFERROR((D48*1.5)/1440, "?")</f>
        <v>0.19479166666666667</v>
      </c>
      <c r="D48" s="10">
        <v>187</v>
      </c>
      <c r="E48" s="98"/>
      <c r="F48" s="99">
        <v>2000</v>
      </c>
      <c r="G48" s="10" t="s">
        <v>274</v>
      </c>
      <c r="H48" s="100">
        <v>45979</v>
      </c>
      <c r="I48" s="101">
        <v>45979</v>
      </c>
      <c r="J48" s="10" t="s">
        <v>267</v>
      </c>
      <c r="K48" s="10" t="s">
        <v>174</v>
      </c>
      <c r="L48" s="10" t="s">
        <v>49</v>
      </c>
      <c r="M48" s="10" t="s">
        <v>115</v>
      </c>
      <c r="N48" s="12" t="s">
        <v>125</v>
      </c>
      <c r="O48" s="10" t="s">
        <v>117</v>
      </c>
      <c r="P48" s="137" t="s">
        <v>269</v>
      </c>
      <c r="Q48" s="10"/>
      <c r="R48" s="10" t="s">
        <v>49</v>
      </c>
      <c r="S48" s="10" t="s">
        <v>22</v>
      </c>
      <c r="T48" s="2" t="str">
        <f t="shared" si="0"/>
        <v>1213</v>
      </c>
      <c r="U48" s="2" t="str" cm="1">
        <f t="array" ref="U48">_xlfn.LET(
  _xlpm.ch, TRIM(SUBSTITUTE(G48,CHAR(160),"")),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IF(L48="CLIENTE", O48, IF(LEFT(L48,4)="http", L48, "MACPONTA AGRO DE "&amp;L48)),
  _xlpm.paraBase, IF(M48="CLIENTE", P48, M48),
  _xlpm.paraTxt, IF(LEFT(_xlpm.paraBase,4)="http", _xlpm.paraBase, "MACPONTA AGRO DE "&amp;_xlpm.paraBase),
  _xlpm.nfParte, IF(LEN(TRIM(I48))=0, "", " -NF "&amp;TRIM(I48)),
  "- " &amp; _xlpm.tipotxt &amp; ": *" &amp; G48 &amp; "*" &amp; CHAR(13)&amp;CHAR(10) &amp;
  "- " &amp; _xlpm.dimtxt &amp; CHAR(13)&amp;CHAR(10) &amp;
  "- *Cliente*: " &amp; J48 &amp; _xlpm.nfParte &amp; CHAR(13)&amp;CHAR(10) &amp;
  "- *Obs:* " &amp; O48 &amp; CHAR(13)&amp;CHAR(10) &amp; CHAR(10) &amp;
  "- *De*: " &amp; _xlpm.deTxt &amp; CHAR(13)&amp;CHAR(10) &amp;
  "- *Para*: " &amp; _xlpm.paraTxt &amp; CHAR(13)&amp;CHAR(10) &amp;
  "- *Ida e volta*: +/- " &amp; TEXT(((D48*1.5)/1440),"h:mm") &amp; "h | " &amp; D48 &amp; "km"
)</f>
        <v>- PLANTADEIRA: *1CQ1213AHS0155196*_x000D_
- A:2,45 x C:7,00 x L:3,20-3,20 x P:6.025kg_x000D_
- *Cliente*: FAZENDINHA -NF61895 -NF 45979_x000D_
- *Obs:* MPA_x000D_
- *De*: MACPONTA AGRO DE ARAPOTI_x000D_
- *Para*: https://maps.app.goo.gl/HAQzMitpSPVxhKFi9_x000D_
- *Ida e volta*: +/- 4:40h | 187km</v>
      </c>
    </row>
    <row r="49" spans="1:21" ht="14.45">
      <c r="A49" s="12" t="s">
        <v>177</v>
      </c>
      <c r="B49" s="10" t="s">
        <v>66</v>
      </c>
      <c r="C49" s="97">
        <f>IFERROR((D49*1.5)/1440, "?")</f>
        <v>0.49791666666666667</v>
      </c>
      <c r="D49" s="10">
        <v>478</v>
      </c>
      <c r="E49" s="98"/>
      <c r="F49" s="99">
        <v>300</v>
      </c>
      <c r="G49" s="10" t="s">
        <v>263</v>
      </c>
      <c r="H49" s="100">
        <v>45979</v>
      </c>
      <c r="I49" s="101">
        <v>45979</v>
      </c>
      <c r="J49" s="139" t="s">
        <v>265</v>
      </c>
      <c r="K49" s="10" t="s">
        <v>174</v>
      </c>
      <c r="L49" s="10" t="s">
        <v>58</v>
      </c>
      <c r="M49" s="10" t="s">
        <v>115</v>
      </c>
      <c r="N49" s="12" t="s">
        <v>259</v>
      </c>
      <c r="O49" s="10" t="s">
        <v>117</v>
      </c>
      <c r="P49" s="102" t="s">
        <v>260</v>
      </c>
      <c r="Q49" s="10" t="s">
        <v>261</v>
      </c>
      <c r="R49" s="10" t="s">
        <v>49</v>
      </c>
      <c r="S49" s="10" t="s">
        <v>23</v>
      </c>
      <c r="T49" s="2" t="str">
        <f t="shared" si="0"/>
        <v>FA25</v>
      </c>
      <c r="U49" s="2" t="str" cm="1">
        <f t="array" ref="U49">_xlfn.LET(
  _xlpm.ch, TRIM(SUBSTITUTE(G49,CHAR(160),"")),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IF(L49="CLIENTE", O49, IF(LEFT(L49,4)="http", L49, "MACPONTA AGRO DE "&amp;L49)),
  _xlpm.paraBase, IF(M49="CLIENTE", P49, M49),
  _xlpm.paraTxt, IF(LEFT(_xlpm.paraBase,4)="http", _xlpm.paraBase, "MACPONTA AGRO DE "&amp;_xlpm.paraBase),
  _xlpm.nfParte, IF(LEN(TRIM(I49))=0, "", " -NF "&amp;TRIM(I49)),
  "- " &amp; _xlpm.tipotxt &amp; ": *" &amp; G49 &amp; "*" &amp; CHAR(13)&amp;CHAR(10) &amp;
  "- " &amp; _xlpm.dimtxt &amp; CHAR(13)&amp;CHAR(10) &amp;
  "- *Cliente*: " &amp; J49 &amp; _xlpm.nfParte &amp; CHAR(13)&amp;CHAR(10) &amp;
  "- *Obs:* " &amp; O49 &amp; CHAR(13)&amp;CHAR(10) &amp; CHAR(10) &amp;
  "- *De*: " &amp; _xlpm.deTxt &amp; CHAR(13)&amp;CHAR(10) &amp;
  "- *Para*: " &amp; _xlpm.paraTxt &amp; CHAR(13)&amp;CHAR(10) &amp;
  "- *Ida e volta*: +/- " &amp; TEXT(((D49*1.5)/1440),"h:mm") &amp; "h | " &amp; D49 &amp; "km"
)</f>
        <v>- PLATAFORMA: *1CQFA25APS0160156*_x000D_
- A:1,60 x C:7,60 x L:1,80-1,80 x P:2.100kg_x000D_
- *Cliente*: SILO DO MALOCA -NF61894 VOLTA -NF 45979_x000D_
- *Obs:* MPA_x000D_
- *De*: MACPONTA AGRO DE IRATI_x000D_
- *Para*: https://maps.app.goo.gl/TYsDXWU4kqkeGb8D6_x000D_
- *Ida e volta*: +/- 11:57h | 478km</v>
      </c>
    </row>
    <row r="50" spans="1:21" ht="14.45">
      <c r="A50" s="12" t="s">
        <v>177</v>
      </c>
      <c r="B50" s="10" t="s">
        <v>66</v>
      </c>
      <c r="C50" s="97">
        <f>IFERROR((D50*1.5)/1440, "?")</f>
        <v>0.49791666666666667</v>
      </c>
      <c r="D50" s="10">
        <v>478</v>
      </c>
      <c r="E50" s="98"/>
      <c r="F50" s="99">
        <v>900</v>
      </c>
      <c r="G50" s="10" t="s">
        <v>264</v>
      </c>
      <c r="H50" s="100">
        <v>45979</v>
      </c>
      <c r="I50" s="101">
        <v>45979</v>
      </c>
      <c r="J50" s="139" t="s">
        <v>265</v>
      </c>
      <c r="K50" s="10" t="s">
        <v>174</v>
      </c>
      <c r="L50" s="10" t="s">
        <v>58</v>
      </c>
      <c r="M50" s="10" t="s">
        <v>115</v>
      </c>
      <c r="N50" s="12" t="s">
        <v>259</v>
      </c>
      <c r="O50" s="10" t="s">
        <v>117</v>
      </c>
      <c r="P50" s="102" t="s">
        <v>260</v>
      </c>
      <c r="Q50" s="10" t="s">
        <v>261</v>
      </c>
      <c r="R50" s="10" t="s">
        <v>49</v>
      </c>
      <c r="S50" s="10" t="s">
        <v>21</v>
      </c>
      <c r="T50" s="2" t="str">
        <f t="shared" si="0"/>
        <v>S440</v>
      </c>
      <c r="U50" s="2" t="str" cm="1">
        <f t="array" ref="U50">_xlfn.LET(
  _xlpm.ch, TRIM(SUBSTITUTE(G50,CHAR(160),"")),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IF(L50="CLIENTE", O50, IF(LEFT(L50,4)="http", L50, "MACPONTA AGRO DE "&amp;L50)),
  _xlpm.paraBase, IF(M50="CLIENTE", P50, M50),
  _xlpm.paraTxt, IF(LEFT(_xlpm.paraBase,4)="http", _xlpm.paraBase, "MACPONTA AGRO DE "&amp;_xlpm.paraBase),
  _xlpm.nfParte, IF(LEN(TRIM(I50))=0, "", " -NF "&amp;TRIM(I50)),
  "- " &amp; _xlpm.tipotxt &amp; ": *" &amp; G50 &amp; "*" &amp; CHAR(13)&amp;CHAR(10) &amp;
  "- " &amp; _xlpm.dimtxt &amp; CHAR(13)&amp;CHAR(10) &amp;
  "- *Cliente*: " &amp; J50 &amp; _xlpm.nfParte &amp; CHAR(13)&amp;CHAR(10) &amp;
  "- *Obs:* " &amp; O50 &amp; CHAR(13)&amp;CHAR(10) &amp; CHAR(10) &amp;
  "- *De*: " &amp; _xlpm.deTxt &amp; CHAR(13)&amp;CHAR(10) &amp;
  "- *Para*: " &amp; _xlpm.paraTxt &amp; CHAR(13)&amp;CHAR(10) &amp;
  "- *Ida e volta*: +/- " &amp; TEXT(((D50*1.5)/1440),"h:mm") &amp; "h | " &amp; D50 &amp; "km"
)</f>
        <v>- COLHEITADEIRA: *1CQS440ACS0155147*_x000D_
- A:4,10 x C:7,70 x L:3,40-4,10 x P:11.800kg_x000D_
- *Cliente*: SILO DO MALOCA -NF61894 VOLTA -NF 45979_x000D_
- *Obs:* MPA_x000D_
- *De*: MACPONTA AGRO DE IRATI_x000D_
- *Para*: https://maps.app.goo.gl/TYsDXWU4kqkeGb8D6_x000D_
- *Ida e volta*: +/- 11:57h | 478km</v>
      </c>
    </row>
    <row r="51" spans="1:21">
      <c r="A51" s="12" t="s">
        <v>111</v>
      </c>
      <c r="B51" s="10" t="s">
        <v>66</v>
      </c>
      <c r="C51" s="97">
        <f>IFERROR((D51*1.5)/1440, "?")</f>
        <v>2.2916666666666665E-2</v>
      </c>
      <c r="D51" s="10">
        <v>22</v>
      </c>
      <c r="E51" s="98"/>
      <c r="F51" s="99">
        <v>400</v>
      </c>
      <c r="G51" s="10" t="s">
        <v>275</v>
      </c>
      <c r="H51" s="100">
        <v>45980</v>
      </c>
      <c r="I51" s="101">
        <v>45980</v>
      </c>
      <c r="J51" s="10" t="s">
        <v>276</v>
      </c>
      <c r="K51" s="10" t="s">
        <v>174</v>
      </c>
      <c r="L51" s="10" t="s">
        <v>49</v>
      </c>
      <c r="M51" s="10" t="s">
        <v>115</v>
      </c>
      <c r="N51" s="12" t="s">
        <v>116</v>
      </c>
      <c r="O51" s="10" t="s">
        <v>117</v>
      </c>
      <c r="P51" s="138" t="s">
        <v>277</v>
      </c>
      <c r="Q51" s="10" t="s">
        <v>278</v>
      </c>
      <c r="R51" s="10" t="s">
        <v>49</v>
      </c>
      <c r="S51" s="10" t="s">
        <v>23</v>
      </c>
      <c r="T51" s="2" t="str">
        <f t="shared" si="0"/>
        <v>RD30</v>
      </c>
      <c r="U51" s="2" t="str" cm="1">
        <f t="array" ref="U51">_xlfn.LET(
  _xlpm.ch, TRIM(SUBSTITUTE(G51,CHAR(160),"")),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IF(L51="CLIENTE", O51, IF(LEFT(L51,4)="http", L51, "MACPONTA AGRO DE "&amp;L51)),
  _xlpm.paraBase, IF(M51="CLIENTE", P51, M51),
  _xlpm.paraTxt, IF(LEFT(_xlpm.paraBase,4)="http", _xlpm.paraBase, "MACPONTA AGRO DE "&amp;_xlpm.paraBase),
  _xlpm.nfParte, IF(LEN(TRIM(I51))=0, "", " -NF "&amp;TRIM(I51)),
  "- " &amp; _xlpm.tipotxt &amp; ": *" &amp; G51 &amp; "*" &amp; CHAR(13)&amp;CHAR(10) &amp;
  "- " &amp; _xlpm.dimtxt &amp; CHAR(13)&amp;CHAR(10) &amp;
  "- *Cliente*: " &amp; J51 &amp; _xlpm.nfParte &amp; CHAR(13)&amp;CHAR(10) &amp;
  "- *Obs:* " &amp; O51 &amp; CHAR(13)&amp;CHAR(10) &amp; CHAR(10) &amp;
  "- *De*: " &amp; _xlpm.deTxt &amp; CHAR(13)&amp;CHAR(10) &amp;
  "- *Para*: " &amp; _xlpm.paraTxt &amp; CHAR(13)&amp;CHAR(10) &amp;
  "- *Ida e volta*: +/- " &amp; TEXT(((D51*1.5)/1440),"h:mm") &amp; "h | " &amp; D51 &amp; "km"
)</f>
        <v>- PLATAFORMA: *1CQRD30AVS0160116*_x000D_
- A:1,60 x C:9,14 x L:2,20-2,20 x P:4.200kg_x000D_
- *Cliente*: JAN NOORDEGRAAF NETO -NF61591 -NF 45980_x000D_
- *Obs:* MPA_x000D_
- *De*: MACPONTA AGRO DE ARAPOTI_x000D_
- *Para*: https://maps.app.goo.gl/w2FYcAi8ZYYfJ88Y8_x000D_
- *Ida e volta*: +/- 0:33h | 22km</v>
      </c>
    </row>
    <row r="52" spans="1:21">
      <c r="A52" s="12" t="s">
        <v>111</v>
      </c>
      <c r="B52" s="10" t="s">
        <v>66</v>
      </c>
      <c r="C52" s="97">
        <f>IFERROR((D52*1.5)/1440, "?")</f>
        <v>2.2916666666666665E-2</v>
      </c>
      <c r="D52" s="10">
        <v>22</v>
      </c>
      <c r="E52" s="98"/>
      <c r="F52" s="99">
        <v>800</v>
      </c>
      <c r="G52" s="10" t="s">
        <v>279</v>
      </c>
      <c r="H52" s="100">
        <v>45980</v>
      </c>
      <c r="I52" s="101">
        <v>45980</v>
      </c>
      <c r="J52" s="10" t="s">
        <v>276</v>
      </c>
      <c r="K52" s="10" t="s">
        <v>174</v>
      </c>
      <c r="L52" s="10" t="s">
        <v>49</v>
      </c>
      <c r="M52" s="10" t="s">
        <v>115</v>
      </c>
      <c r="N52" s="12" t="s">
        <v>116</v>
      </c>
      <c r="O52" s="10" t="s">
        <v>117</v>
      </c>
      <c r="P52" s="138" t="s">
        <v>277</v>
      </c>
      <c r="Q52" s="10" t="s">
        <v>278</v>
      </c>
      <c r="R52" s="10" t="s">
        <v>49</v>
      </c>
      <c r="S52" s="10" t="s">
        <v>21</v>
      </c>
      <c r="T52" s="2" t="str">
        <f t="shared" si="0"/>
        <v>S550</v>
      </c>
      <c r="U52" s="2" t="str" cm="1">
        <f t="array" ref="U52">_xlfn.LET(
  _xlpm.ch, TRIM(SUBSTITUTE(G52,CHAR(160),"")),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IF(L52="CLIENTE", O52, IF(LEFT(L52,4)="http", L52, "MACPONTA AGRO DE "&amp;L52)),
  _xlpm.paraBase, IF(M52="CLIENTE", P52, M52),
  _xlpm.paraTxt, IF(LEFT(_xlpm.paraBase,4)="http", _xlpm.paraBase, "MACPONTA AGRO DE "&amp;_xlpm.paraBase),
  _xlpm.nfParte, IF(LEN(TRIM(I52))=0, "", " -NF "&amp;TRIM(I52)),
  "- " &amp; _xlpm.tipotxt &amp; ": *" &amp; G52 &amp; "*" &amp; CHAR(13)&amp;CHAR(10) &amp;
  "- " &amp; _xlpm.dimtxt &amp; CHAR(13)&amp;CHAR(10) &amp;
  "- *Cliente*: " &amp; J52 &amp; _xlpm.nfParte &amp; CHAR(13)&amp;CHAR(10) &amp;
  "- *Obs:* " &amp; O52 &amp; CHAR(13)&amp;CHAR(10) &amp; CHAR(10) &amp;
  "- *De*: " &amp; _xlpm.deTxt &amp; CHAR(13)&amp;CHAR(10) &amp;
  "- *Para*: " &amp; _xlpm.paraTxt &amp; CHAR(13)&amp;CHAR(10) &amp;
  "- *Ida e volta*: +/- " &amp; TEXT(((D52*1.5)/1440),"h:mm") &amp; "h | " &amp; D52 &amp; "km"
)</f>
        <v>- COLHEITADEIRA: *1CQS550AAS0160130*_x000D_
- A:3,80 x C:10,00 x L:3,70-4,20 x P:15.938kg_x000D_
- *Cliente*: JAN NOORDEGRAAF NETO -NF61591 -NF 45980_x000D_
- *Obs:* MPA_x000D_
- *De*: MACPONTA AGRO DE ARAPOTI_x000D_
- *Para*: https://maps.app.goo.gl/w2FYcAi8ZYYfJ88Y8_x000D_
- *Ida e volta*: +/- 0:33h | 22km</v>
      </c>
    </row>
    <row r="53" spans="1:21" ht="14.45">
      <c r="A53" s="12" t="s">
        <v>111</v>
      </c>
      <c r="B53" s="10" t="s">
        <v>66</v>
      </c>
      <c r="C53" s="97">
        <f>IFERROR((D53*1.5)/1440, "?")</f>
        <v>2.2916666666666665E-2</v>
      </c>
      <c r="D53" s="10">
        <v>22</v>
      </c>
      <c r="E53" s="98"/>
      <c r="F53" s="99">
        <v>800</v>
      </c>
      <c r="G53" s="10" t="s">
        <v>280</v>
      </c>
      <c r="H53" s="100">
        <v>45980</v>
      </c>
      <c r="I53" s="101">
        <v>45980</v>
      </c>
      <c r="J53" s="10" t="s">
        <v>281</v>
      </c>
      <c r="K53" s="10" t="s">
        <v>174</v>
      </c>
      <c r="L53" s="10" t="s">
        <v>115</v>
      </c>
      <c r="M53" s="10" t="s">
        <v>49</v>
      </c>
      <c r="N53" s="12" t="s">
        <v>125</v>
      </c>
      <c r="O53" s="140" t="s">
        <v>277</v>
      </c>
      <c r="P53" s="12" t="s">
        <v>117</v>
      </c>
      <c r="Q53" s="10" t="s">
        <v>282</v>
      </c>
      <c r="R53" s="10" t="s">
        <v>49</v>
      </c>
      <c r="S53" s="10" t="s">
        <v>21</v>
      </c>
      <c r="T53" s="2" t="str">
        <f t="shared" si="0"/>
        <v>B251</v>
      </c>
      <c r="U53" s="2" t="str" cm="1">
        <f t="array" ref="U53">_xlfn.LET(
  _xlpm.ch, TRIM(SUBSTITUTE(G53,CHAR(160),"")),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IF(L53="CLIENTE", O53, IF(LEFT(L53,4)="http", L53, "MACPONTA AGRO DE "&amp;L53)),
  _xlpm.paraBase, IF(M53="CLIENTE", P53, M53),
  _xlpm.paraTxt, IF(LEFT(_xlpm.paraBase,4)="http", _xlpm.paraBase, "MACPONTA AGRO DE "&amp;_xlpm.paraBase),
  _xlpm.nfParte, IF(LEN(TRIM(I53))=0, "", " -NF "&amp;TRIM(I53)),
  "- " &amp; _xlpm.tipotxt &amp; ": *" &amp; G53 &amp; "*" &amp; CHAR(13)&amp;CHAR(10) &amp;
  "- " &amp; _xlpm.dimtxt &amp; CHAR(13)&amp;CHAR(10) &amp;
  "- *Cliente*: " &amp; J53 &amp; _xlpm.nfParte &amp; CHAR(13)&amp;CHAR(10) &amp;
  "- *Obs:* " &amp; O53 &amp; CHAR(13)&amp;CHAR(10) &amp; CHAR(10) &amp;
  "- *De*: " &amp; _xlpm.deTxt &amp; CHAR(13)&amp;CHAR(10) &amp;
  "- *Para*: " &amp; _xlpm.paraTxt &amp; CHAR(13)&amp;CHAR(10) &amp;
  "- *Ida e volta*: +/- " &amp; TEXT(((D53*1.5)/1440),"h:mm") &amp; "h | " &amp; D53 &amp; "km"
)</f>
        <v>- NÃO ENCONTRADO: *HCCB251KEKC318677*_x000D_
- _x000D_
- *Cliente*: NOTA DO CLIENTE -NF 45980_x000D_
- *Obs:* https://maps.app.goo.gl/w2FYcAi8ZYYfJ88Y8_x000D_
- *De*: https://maps.app.goo.gl/w2FYcAi8ZYYfJ88Y8_x000D_
- *Para*: MACPONTA AGRO DE ARAPOTI_x000D_
- *Ida e volta*: +/- 0:33h | 22km</v>
      </c>
    </row>
    <row r="54" spans="1:21" ht="14.45">
      <c r="A54" s="12" t="s">
        <v>111</v>
      </c>
      <c r="B54" s="10" t="s">
        <v>66</v>
      </c>
      <c r="C54" s="97">
        <f>IFERROR((D54*1.5)/1440, "?")</f>
        <v>2.2916666666666665E-2</v>
      </c>
      <c r="D54" s="10">
        <v>22</v>
      </c>
      <c r="E54" s="98"/>
      <c r="F54" s="99">
        <v>400</v>
      </c>
      <c r="G54" s="10" t="s">
        <v>283</v>
      </c>
      <c r="H54" s="100">
        <v>45980</v>
      </c>
      <c r="I54" s="101">
        <v>45980</v>
      </c>
      <c r="J54" s="10" t="s">
        <v>281</v>
      </c>
      <c r="K54" s="10" t="s">
        <v>174</v>
      </c>
      <c r="L54" s="10" t="s">
        <v>115</v>
      </c>
      <c r="M54" s="10" t="s">
        <v>49</v>
      </c>
      <c r="N54" s="12" t="s">
        <v>125</v>
      </c>
      <c r="O54" s="140" t="s">
        <v>277</v>
      </c>
      <c r="P54" s="12" t="s">
        <v>117</v>
      </c>
      <c r="Q54" s="10" t="s">
        <v>282</v>
      </c>
      <c r="R54" s="10" t="s">
        <v>49</v>
      </c>
      <c r="S54" s="10" t="s">
        <v>23</v>
      </c>
      <c r="T54" s="2" t="str">
        <f t="shared" si="0"/>
        <v>Y358</v>
      </c>
      <c r="U54" s="2" t="str" cm="1">
        <f t="array" ref="U54">_xlfn.LET(
  _xlpm.ch, TRIM(SUBSTITUTE(G54,CHAR(160),"")),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IF(L54="CLIENTE", O54, IF(LEFT(L54,4)="http", L54, "MACPONTA AGRO DE "&amp;L54)),
  _xlpm.paraBase, IF(M54="CLIENTE", P54, M54),
  _xlpm.paraTxt, IF(LEFT(_xlpm.paraBase,4)="http", _xlpm.paraBase, "MACPONTA AGRO DE "&amp;_xlpm.paraBase),
  _xlpm.nfParte, IF(LEN(TRIM(I54))=0, "", " -NF "&amp;TRIM(I54)),
  "- " &amp; _xlpm.tipotxt &amp; ": *" &amp; G54 &amp; "*" &amp; CHAR(13)&amp;CHAR(10) &amp;
  "- " &amp; _xlpm.dimtxt &amp; CHAR(13)&amp;CHAR(10) &amp;
  "- *Cliente*: " &amp; J54 &amp; _xlpm.nfParte &amp; CHAR(13)&amp;CHAR(10) &amp;
  "- *Obs:* " &amp; O54 &amp; CHAR(13)&amp;CHAR(10) &amp; CHAR(10) &amp;
  "- *De*: " &amp; _xlpm.deTxt &amp; CHAR(13)&amp;CHAR(10) &amp;
  "- *Para*: " &amp; _xlpm.paraTxt &amp; CHAR(13)&amp;CHAR(10) &amp;
  "- *Ida e volta*: +/- " &amp; TEXT(((D54*1.5)/1440),"h:mm") &amp; "h | " &amp; D54 &amp; "km"
)</f>
        <v>- NÃO ENCONTRADO: *JHFY3585PKJF12965*_x000D_
- _x000D_
- *Cliente*: NOTA DO CLIENTE -NF 45980_x000D_
- *Obs:* https://maps.app.goo.gl/w2FYcAi8ZYYfJ88Y8_x000D_
- *De*: https://maps.app.goo.gl/w2FYcAi8ZYYfJ88Y8_x000D_
- *Para*: MACPONTA AGRO DE ARAPOTI_x000D_
- *Ida e volta*: +/- 0:33h | 22km</v>
      </c>
    </row>
    <row r="55" spans="1:21" ht="14.45">
      <c r="A55" s="12" t="s">
        <v>111</v>
      </c>
      <c r="B55" s="10" t="s">
        <v>48</v>
      </c>
      <c r="C55" s="97">
        <f>IFERROR((D55*1.5)/1440, "?")</f>
        <v>0.22916666666666666</v>
      </c>
      <c r="D55" s="10">
        <v>220</v>
      </c>
      <c r="E55" s="98"/>
      <c r="F55" s="99">
        <v>1753</v>
      </c>
      <c r="G55" s="10" t="s">
        <v>284</v>
      </c>
      <c r="H55" s="100">
        <v>45980</v>
      </c>
      <c r="I55" s="101">
        <v>45980</v>
      </c>
      <c r="J55" s="10" t="s">
        <v>285</v>
      </c>
      <c r="K55" s="10" t="s">
        <v>130</v>
      </c>
      <c r="L55" s="10" t="s">
        <v>131</v>
      </c>
      <c r="M55" s="10" t="s">
        <v>115</v>
      </c>
      <c r="N55" s="12" t="s">
        <v>116</v>
      </c>
      <c r="O55" s="10" t="s">
        <v>117</v>
      </c>
      <c r="P55" s="12" t="s">
        <v>286</v>
      </c>
      <c r="Q55" s="10" t="s">
        <v>287</v>
      </c>
      <c r="R55" s="10" t="s">
        <v>131</v>
      </c>
      <c r="S55" s="10" t="s">
        <v>25</v>
      </c>
      <c r="T55" s="2" t="str">
        <f t="shared" si="0"/>
        <v>6100J</v>
      </c>
      <c r="U55" s="2" t="str" cm="1">
        <f t="array" ref="U55">_xlfn.LET(
  _xlpm.ch, TRIM(SUBSTITUTE(G55,CHAR(160),"")),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IF(L55="CLIENTE", O55, IF(LEFT(L55,4)="http", L55, "MACPONTA AGRO DE "&amp;L55)),
  _xlpm.paraBase, IF(M55="CLIENTE", P55, M55),
  _xlpm.paraTxt, IF(LEFT(_xlpm.paraBase,4)="http", _xlpm.paraBase, "MACPONTA AGRO DE "&amp;_xlpm.paraBase),
  _xlpm.nfParte, IF(LEN(TRIM(I55))=0, "", " -NF "&amp;TRIM(I55)),
  "- " &amp; _xlpm.tipotxt &amp; ": *" &amp; G55 &amp; "*" &amp; CHAR(13)&amp;CHAR(10) &amp;
  "- " &amp; _xlpm.dimtxt &amp; CHAR(13)&amp;CHAR(10) &amp;
  "- *Cliente*: " &amp; J55 &amp; _xlpm.nfParte &amp; CHAR(13)&amp;CHAR(10) &amp;
  "- *Obs:* " &amp; O55 &amp; CHAR(13)&amp;CHAR(10) &amp; CHAR(10) &amp;
  "- *De*: " &amp; _xlpm.deTxt &amp; CHAR(13)&amp;CHAR(10) &amp;
  "- *Para*: " &amp; _xlpm.paraTxt &amp; CHAR(13)&amp;CHAR(10) &amp;
  "- *Ida e volta*: +/- " &amp; TEXT(((D55*1.5)/1440),"h:mm") &amp; "h | " &amp; D55 &amp; "km"
)</f>
        <v>- TRATOR: *1BM6100JTSD602254*_x000D_
- A:2,72 x C:4,56 x L:2,50-3,30 x P:5.600kg_x000D_
- *Cliente*: PATRICIA H O HASEGAWA -NF106525 -NF 45980_x000D_
- *Obs:* MPA_x000D_
- *De*: MACPONTA AGRO DE GUARAPUAVA_x000D_
- *Para*: https://maps.app.goo.gl/sUh1AADFcu4n8yPE8?g_st=iw_x000D_
- *Ida e volta*: +/- 5:30h | 220km</v>
      </c>
    </row>
    <row r="56" spans="1:21" ht="14.45">
      <c r="A56" s="12" t="s">
        <v>111</v>
      </c>
      <c r="B56" s="10" t="s">
        <v>48</v>
      </c>
      <c r="C56" s="97">
        <f>IFERROR((D56*1.5)/1440, "?")</f>
        <v>9.375E-2</v>
      </c>
      <c r="D56" s="10">
        <v>90</v>
      </c>
      <c r="E56" s="98"/>
      <c r="F56" s="99">
        <v>1196</v>
      </c>
      <c r="G56" s="10" t="s">
        <v>288</v>
      </c>
      <c r="H56" s="100">
        <v>45980</v>
      </c>
      <c r="I56" s="101">
        <v>45980</v>
      </c>
      <c r="J56" s="10" t="s">
        <v>289</v>
      </c>
      <c r="K56" s="10" t="s">
        <v>130</v>
      </c>
      <c r="L56" s="10" t="s">
        <v>131</v>
      </c>
      <c r="M56" s="10" t="s">
        <v>115</v>
      </c>
      <c r="N56" s="12" t="s">
        <v>116</v>
      </c>
      <c r="O56" s="10" t="s">
        <v>117</v>
      </c>
      <c r="P56" s="12" t="s">
        <v>290</v>
      </c>
      <c r="Q56" s="10" t="s">
        <v>291</v>
      </c>
      <c r="R56" s="10" t="s">
        <v>131</v>
      </c>
      <c r="S56" s="10" t="s">
        <v>25</v>
      </c>
      <c r="T56" s="2" t="str">
        <f t="shared" si="0"/>
        <v>6100J</v>
      </c>
      <c r="U56" s="2" t="str" cm="1">
        <f t="array" ref="U56">_xlfn.LET(
  _xlpm.ch, TRIM(SUBSTITUTE(G56,CHAR(160),"")),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IF(L56="CLIENTE", O56, IF(LEFT(L56,4)="http", L56, "MACPONTA AGRO DE "&amp;L56)),
  _xlpm.paraBase, IF(M56="CLIENTE", P56, M56),
  _xlpm.paraTxt, IF(LEFT(_xlpm.paraBase,4)="http", _xlpm.paraBase, "MACPONTA AGRO DE "&amp;_xlpm.paraBase),
  _xlpm.nfParte, IF(LEN(TRIM(I56))=0, "", " -NF "&amp;TRIM(I56)),
  "- " &amp; _xlpm.tipotxt &amp; ": *" &amp; G56 &amp; "*" &amp; CHAR(13)&amp;CHAR(10) &amp;
  "- " &amp; _xlpm.dimtxt &amp; CHAR(13)&amp;CHAR(10) &amp;
  "- *Cliente*: " &amp; J56 &amp; _xlpm.nfParte &amp; CHAR(13)&amp;CHAR(10) &amp;
  "- *Obs:* " &amp; O56 &amp; CHAR(13)&amp;CHAR(10) &amp; CHAR(10) &amp;
  "- *De*: " &amp; _xlpm.deTxt &amp; CHAR(13)&amp;CHAR(10) &amp;
  "- *Para*: " &amp; _xlpm.paraTxt &amp; CHAR(13)&amp;CHAR(10) &amp;
  "- *Ida e volta*: +/- " &amp; TEXT(((D56*1.5)/1440),"h:mm") &amp; "h | " &amp; D56 &amp; "km"
)</f>
        <v>- TRATOR: *1BM6100JCSD602446*_x000D_
- A:2,72 x C:4,56 x L:2,50-3,30 x P:5.600kg_x000D_
- *Cliente*: BRUNNO F VIOMAR -NF 107324 -NF 45980_x000D_
- *Obs:* MPA_x000D_
- *De*: MACPONTA AGRO DE GUARAPUAVA_x000D_
- *Para*: https://maps.app.goo.gl/dMP2u2euHz5GQfGg7_x000D_
- *Ida e volta*: +/- 2:15h | 90km</v>
      </c>
    </row>
    <row r="57" spans="1:21" ht="14.45">
      <c r="A57" s="12" t="s">
        <v>111</v>
      </c>
      <c r="B57" s="10" t="s">
        <v>48</v>
      </c>
      <c r="C57" s="97">
        <f>IFERROR((D57*1.5)/1440, "?")</f>
        <v>0.12708333333333333</v>
      </c>
      <c r="D57" s="10">
        <v>122</v>
      </c>
      <c r="E57" s="98"/>
      <c r="F57" s="99">
        <v>1373</v>
      </c>
      <c r="G57" s="10" t="s">
        <v>292</v>
      </c>
      <c r="H57" s="100">
        <v>45980</v>
      </c>
      <c r="I57" s="101">
        <v>45980</v>
      </c>
      <c r="J57" s="10" t="s">
        <v>293</v>
      </c>
      <c r="K57" s="10" t="s">
        <v>130</v>
      </c>
      <c r="L57" s="10" t="s">
        <v>131</v>
      </c>
      <c r="M57" s="10" t="s">
        <v>115</v>
      </c>
      <c r="N57" s="12" t="s">
        <v>116</v>
      </c>
      <c r="O57" s="10" t="s">
        <v>117</v>
      </c>
      <c r="P57" s="12" t="s">
        <v>294</v>
      </c>
      <c r="Q57" s="10" t="s">
        <v>295</v>
      </c>
      <c r="R57" s="10" t="s">
        <v>131</v>
      </c>
      <c r="S57" s="10" t="s">
        <v>21</v>
      </c>
      <c r="T57" s="2" t="str">
        <f t="shared" si="0"/>
        <v>5251</v>
      </c>
      <c r="U57" s="2" t="str" cm="1">
        <f t="array" ref="U57">_xlfn.LET(
  _xlpm.ch, TRIM(SUBSTITUTE(G57,CHAR(160),"")),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IF(L57="CLIENTE", O57, IF(LEFT(L57,4)="http", L57, "MACPONTA AGRO DE "&amp;L57)),
  _xlpm.paraBase, IF(M57="CLIENTE", P57, M57),
  _xlpm.paraTxt, IF(LEFT(_xlpm.paraBase,4)="http", _xlpm.paraBase, "MACPONTA AGRO DE "&amp;_xlpm.paraBase),
  _xlpm.nfParte, IF(LEN(TRIM(I57))=0, "", " -NF "&amp;TRIM(I57)),
  "- " &amp; _xlpm.tipotxt &amp; ": *" &amp; G57 &amp; "*" &amp; CHAR(13)&amp;CHAR(10) &amp;
  "- " &amp; _xlpm.dimtxt &amp; CHAR(13)&amp;CHAR(10) &amp;
  "- *Cliente*: " &amp; J57 &amp; _xlpm.nfParte &amp; CHAR(13)&amp;CHAR(10) &amp;
  "- *Obs:* " &amp; O57 &amp; CHAR(13)&amp;CHAR(10) &amp; CHAR(10) &amp;
  "- *De*: " &amp; _xlpm.deTxt &amp; CHAR(13)&amp;CHAR(10) &amp;
  "- *Para*: " &amp; _xlpm.paraTxt &amp; CHAR(13)&amp;CHAR(10) &amp;
  "- *Ida e volta*: +/- " &amp; TEXT(((D57*1.5)/1440),"h:mm") &amp; "h | " &amp; D57 &amp; "km"
)</f>
        <v>- NÃO ENCONTRADO: *Y8C525126*_x000D_
- _x000D_
- *Cliente*: ANDRE MUZZOLON TURCO -NF10833 -NF 45980_x000D_
- *Obs:* MPA_x000D_
- *De*: MACPONTA AGRO DE GUARAPUAVA_x000D_
- *Para*: https://maps.app.goo.gl/k8sSRQfK1xFP8eN89_x000D_
- *Ida e volta*: +/- 3:03h | 122km</v>
      </c>
    </row>
    <row r="58" spans="1:21" ht="14.45">
      <c r="A58" s="12" t="s">
        <v>111</v>
      </c>
      <c r="B58" s="10" t="s">
        <v>77</v>
      </c>
      <c r="C58" s="97">
        <f>IFERROR((D58*1.5)/1440, "?")</f>
        <v>0.14583333333333334</v>
      </c>
      <c r="D58" s="10">
        <v>140</v>
      </c>
      <c r="E58" s="98"/>
      <c r="F58" s="99">
        <v>550</v>
      </c>
      <c r="G58" s="10" t="s">
        <v>296</v>
      </c>
      <c r="H58" s="100">
        <v>45980</v>
      </c>
      <c r="I58" s="101">
        <v>45980</v>
      </c>
      <c r="J58" s="10" t="s">
        <v>297</v>
      </c>
      <c r="K58" s="10" t="s">
        <v>185</v>
      </c>
      <c r="L58" s="10" t="s">
        <v>58</v>
      </c>
      <c r="M58" s="10" t="s">
        <v>115</v>
      </c>
      <c r="N58" s="12" t="s">
        <v>116</v>
      </c>
      <c r="O58" s="10" t="s">
        <v>117</v>
      </c>
      <c r="P58" s="12" t="s">
        <v>298</v>
      </c>
      <c r="Q58" s="10" t="s">
        <v>299</v>
      </c>
      <c r="R58" s="10" t="s">
        <v>240</v>
      </c>
      <c r="S58" s="10" t="s">
        <v>25</v>
      </c>
      <c r="T58" s="2" t="str">
        <f t="shared" si="0"/>
        <v>5060E</v>
      </c>
      <c r="U58" s="2" t="str" cm="1">
        <f t="array" ref="U58">_xlfn.LET(
  _xlpm.ch, TRIM(SUBSTITUTE(G58,CHAR(160),"")),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IF(L58="CLIENTE", O58, IF(LEFT(L58,4)="http", L58, "MACPONTA AGRO DE "&amp;L58)),
  _xlpm.paraBase, IF(M58="CLIENTE", P58, M58),
  _xlpm.paraTxt, IF(LEFT(_xlpm.paraBase,4)="http", _xlpm.paraBase, "MACPONTA AGRO DE "&amp;_xlpm.paraBase),
  _xlpm.nfParte, IF(LEN(TRIM(I58))=0, "", " -NF "&amp;TRIM(I58)),
  "- " &amp; _xlpm.tipotxt &amp; ": *" &amp; G58 &amp; "*" &amp; CHAR(13)&amp;CHAR(10) &amp;
  "- " &amp; _xlpm.dimtxt &amp; CHAR(13)&amp;CHAR(10) &amp;
  "- *Cliente*: " &amp; J58 &amp; _xlpm.nfParte &amp; CHAR(13)&amp;CHAR(10) &amp;
  "- *Obs:* " &amp; O58 &amp; CHAR(13)&amp;CHAR(10) &amp; CHAR(10) &amp;
  "- *De*: " &amp; _xlpm.deTxt &amp; CHAR(13)&amp;CHAR(10) &amp;
  "- *Para*: " &amp; _xlpm.paraTxt &amp; CHAR(13)&amp;CHAR(10) &amp;
  "- *Ida e volta*: +/- " &amp; TEXT(((D58*1.5)/1440),"h:mm") &amp; "h | " &amp; D58 &amp; "km"
)</f>
        <v>- TRATOR: *1BM5060EVS4201539*_x000D_
- A:2,60 x C:4,08 x L:1,45-2,00 x P:5.100kg_x000D_
- *Cliente*: OSMAR DIATCZUK -NF 30883 -NF 45980_x000D_
- *Obs:* MPA_x000D_
- *De*: MACPONTA AGRO DE IRATI_x000D_
- *Para*: https://maps.google.com/maps?q=-25.1189094%2C-51.0372015&amp;z=17&amp;hl=pt-BR_x000D_
- *Ida e volta*: +/- 3:30h | 140km</v>
      </c>
    </row>
    <row r="59" spans="1:21" ht="14.45">
      <c r="A59" s="12" t="s">
        <v>177</v>
      </c>
      <c r="B59" s="10" t="s">
        <v>55</v>
      </c>
      <c r="C59" s="97">
        <f>IFERROR((D59*1.5)/1440, "?")</f>
        <v>5.8333333333333334E-2</v>
      </c>
      <c r="D59" s="10">
        <v>56</v>
      </c>
      <c r="E59" s="98">
        <f>IFERROR((D59*6),"?")</f>
        <v>336</v>
      </c>
      <c r="F59" s="99"/>
      <c r="G59" s="10" t="s">
        <v>300</v>
      </c>
      <c r="H59" s="100">
        <v>45980</v>
      </c>
      <c r="I59" s="101">
        <v>45980</v>
      </c>
      <c r="J59" s="10" t="s">
        <v>301</v>
      </c>
      <c r="K59" s="10" t="s">
        <v>302</v>
      </c>
      <c r="L59" s="10" t="s">
        <v>148</v>
      </c>
      <c r="M59" s="10" t="s">
        <v>115</v>
      </c>
      <c r="N59" s="12" t="s">
        <v>259</v>
      </c>
      <c r="O59" s="10" t="s">
        <v>117</v>
      </c>
      <c r="P59" s="138" t="s">
        <v>303</v>
      </c>
      <c r="Q59" s="10" t="s">
        <v>304</v>
      </c>
      <c r="R59" s="10" t="s">
        <v>148</v>
      </c>
      <c r="S59" s="10" t="s">
        <v>25</v>
      </c>
      <c r="T59" s="2" t="str">
        <f t="shared" si="0"/>
        <v>7215C</v>
      </c>
      <c r="U59" s="2" t="str" cm="1">
        <f t="array" ref="U59">_xlfn.LET(
  _xlpm.ch, TRIM(SUBSTITUTE(G59,CHAR(160),"")),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IF(L59="CLIENTE", O59, IF(LEFT(L59,4)="http", L59, "MACPONTA AGRO DE "&amp;L59)),
  _xlpm.paraBase, IF(M59="CLIENTE", P59, M59),
  _xlpm.paraTxt, IF(LEFT(_xlpm.paraBase,4)="http", _xlpm.paraBase, "MACPONTA AGRO DE "&amp;_xlpm.paraBase),
  _xlpm.nfParte, IF(LEN(TRIM(I59))=0, "", " -NF "&amp;TRIM(I59)),
  "- " &amp; _xlpm.tipotxt &amp; ": *" &amp; G59 &amp; "*" &amp; CHAR(13)&amp;CHAR(10) &amp;
  "- " &amp; _xlpm.dimtxt &amp; CHAR(13)&amp;CHAR(10) &amp;
  "- *Cliente*: " &amp; J59 &amp; _xlpm.nfParte &amp; CHAR(13)&amp;CHAR(10) &amp;
  "- *Obs:* " &amp; O59 &amp; CHAR(13)&amp;CHAR(10) &amp; CHAR(10) &amp;
  "- *De*: " &amp; _xlpm.deTxt &amp; CHAR(13)&amp;CHAR(10) &amp;
  "- *Para*: " &amp; _xlpm.paraTxt &amp; CHAR(13)&amp;CHAR(10) &amp;
  "- *Ida e volta*: +/- " &amp; TEXT(((D59*1.5)/1440),"h:mm") &amp; "h | " &amp; D59 &amp; "km"
)</f>
        <v>- NÃO ENCONTRADO: *1BM7215CJSH000128*_x000D_
- _x000D_
- *Cliente*: GOLFE CLUB -NF79151 -NF 45980_x000D_
- *Obs:* MPA_x000D_
- *De*: MACPONTA AGRO DE PONTA GROSSA_x000D_
- *Para*: https://maps.app.goo.gl/nPrR72QZAjPCStGf7_x000D_
- *Ida e volta*: +/- 1:24h | 56km</v>
      </c>
    </row>
    <row r="60" spans="1:21" ht="14.45">
      <c r="A60" s="12" t="s">
        <v>177</v>
      </c>
      <c r="B60" s="10" t="s">
        <v>55</v>
      </c>
      <c r="C60" s="97">
        <f>IFERROR((D60*1.5)/1440, "?")</f>
        <v>5.8333333333333334E-2</v>
      </c>
      <c r="D60" s="10">
        <v>56</v>
      </c>
      <c r="E60" s="98">
        <f>IFERROR((D60*6),"?")</f>
        <v>336</v>
      </c>
      <c r="F60" s="99"/>
      <c r="G60" s="10" t="s">
        <v>305</v>
      </c>
      <c r="H60" s="100">
        <v>45980</v>
      </c>
      <c r="I60" s="101">
        <v>45980</v>
      </c>
      <c r="J60" s="10" t="s">
        <v>301</v>
      </c>
      <c r="K60" s="10" t="s">
        <v>302</v>
      </c>
      <c r="L60" s="10" t="s">
        <v>148</v>
      </c>
      <c r="M60" s="10" t="s">
        <v>115</v>
      </c>
      <c r="N60" s="12" t="s">
        <v>259</v>
      </c>
      <c r="O60" s="10" t="s">
        <v>117</v>
      </c>
      <c r="P60" s="138" t="s">
        <v>303</v>
      </c>
      <c r="Q60" s="10" t="s">
        <v>304</v>
      </c>
      <c r="R60" s="10" t="s">
        <v>148</v>
      </c>
      <c r="S60" s="10" t="s">
        <v>25</v>
      </c>
      <c r="T60" s="2" t="str">
        <f t="shared" si="0"/>
        <v>6210M</v>
      </c>
      <c r="U60" s="2" t="str" cm="1">
        <f t="array" ref="U60">_xlfn.LET(
  _xlpm.ch, TRIM(SUBSTITUTE(G60,CHAR(160),"")),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IF(L60="CLIENTE", O60, IF(LEFT(L60,4)="http", L60, "MACPONTA AGRO DE "&amp;L60)),
  _xlpm.paraBase, IF(M60="CLIENTE", P60, M60),
  _xlpm.paraTxt, IF(LEFT(_xlpm.paraBase,4)="http", _xlpm.paraBase, "MACPONTA AGRO DE "&amp;_xlpm.paraBase),
  _xlpm.nfParte, IF(LEN(TRIM(I60))=0, "", " -NF "&amp;TRIM(I60)),
  "- " &amp; _xlpm.tipotxt &amp; ": *" &amp; G60 &amp; "*" &amp; CHAR(13)&amp;CHAR(10) &amp;
  "- " &amp; _xlpm.dimtxt &amp; CHAR(13)&amp;CHAR(10) &amp;
  "- *Cliente*: " &amp; J60 &amp; _xlpm.nfParte &amp; CHAR(13)&amp;CHAR(10) &amp;
  "- *Obs:* " &amp; O60 &amp; CHAR(13)&amp;CHAR(10) &amp; CHAR(10) &amp;
  "- *De*: " &amp; _xlpm.deTxt &amp; CHAR(13)&amp;CHAR(10) &amp;
  "- *Para*: " &amp; _xlpm.paraTxt &amp; CHAR(13)&amp;CHAR(10) &amp;
  "- *Ida e volta*: +/- " &amp; TEXT(((D60*1.5)/1440),"h:mm") &amp; "h | " &amp; D60 &amp; "km"
)</f>
        <v>- TRATOR: *1BM6210MPS3001463*_x000D_
- A:3,31 x C:5,02 x L:2,92-3,60 x P:11.750kg_x000D_
- *Cliente*: GOLFE CLUB -NF79151 -NF 45980_x000D_
- *Obs:* MPA_x000D_
- *De*: MACPONTA AGRO DE PONTA GROSSA_x000D_
- *Para*: https://maps.app.goo.gl/nPrR72QZAjPCStGf7_x000D_
- *Ida e volta*: +/- 1:24h | 56km</v>
      </c>
    </row>
    <row r="61" spans="1:21">
      <c r="A61" s="12" t="s">
        <v>111</v>
      </c>
      <c r="B61" s="10" t="s">
        <v>48</v>
      </c>
      <c r="C61" s="97">
        <f>IFERROR((D61*1.5)/1440, "?")</f>
        <v>0.49479166666666669</v>
      </c>
      <c r="D61" s="10">
        <v>475</v>
      </c>
      <c r="E61" s="98"/>
      <c r="F61" s="99"/>
      <c r="G61" s="10" t="s">
        <v>306</v>
      </c>
      <c r="H61" s="100">
        <v>45982</v>
      </c>
      <c r="I61" s="101">
        <v>45982</v>
      </c>
      <c r="J61" s="10" t="s">
        <v>307</v>
      </c>
      <c r="K61" s="10" t="s">
        <v>185</v>
      </c>
      <c r="L61" s="10" t="s">
        <v>131</v>
      </c>
      <c r="M61" s="10" t="s">
        <v>115</v>
      </c>
      <c r="N61" s="12" t="s">
        <v>116</v>
      </c>
      <c r="O61" s="10" t="s">
        <v>117</v>
      </c>
      <c r="P61" s="102" t="s">
        <v>308</v>
      </c>
      <c r="Q61" s="10" t="s">
        <v>309</v>
      </c>
      <c r="R61" s="10" t="s">
        <v>59</v>
      </c>
      <c r="S61" s="10" t="s">
        <v>25</v>
      </c>
      <c r="T61" s="2" t="str">
        <f t="shared" si="0"/>
        <v>6100J</v>
      </c>
      <c r="U61" s="2" t="str" cm="1">
        <f t="array" ref="U61">_xlfn.LET(
  _xlpm.ch, TRIM(SUBSTITUTE(G61,CHAR(160),"")),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IF(L61="CLIENTE", O61, IF(LEFT(L61,4)="http", L61, "MACPONTA AGRO DE "&amp;L61)),
  _xlpm.paraBase, IF(M61="CLIENTE", P61, M61),
  _xlpm.paraTxt, IF(LEFT(_xlpm.paraBase,4)="http", _xlpm.paraBase, "MACPONTA AGRO DE "&amp;_xlpm.paraBase),
  _xlpm.nfParte, IF(LEN(TRIM(I61))=0, "", " -NF "&amp;TRIM(I61)),
  "- " &amp; _xlpm.tipotxt &amp; ": *" &amp; G61 &amp; "*" &amp; CHAR(13)&amp;CHAR(10) &amp;
  "- " &amp; _xlpm.dimtxt &amp; CHAR(13)&amp;CHAR(10) &amp;
  "- *Cliente*: " &amp; J61 &amp; _xlpm.nfParte &amp; CHAR(13)&amp;CHAR(10) &amp;
  "- *Obs:* " &amp; O61 &amp; CHAR(13)&amp;CHAR(10) &amp; CHAR(10) &amp;
  "- *De*: " &amp; _xlpm.deTxt &amp; CHAR(13)&amp;CHAR(10) &amp;
  "- *Para*: " &amp; _xlpm.paraTxt &amp; CHAR(13)&amp;CHAR(10) &amp;
  "- *Ida e volta*: +/- " &amp; TEXT(((D61*1.5)/1440),"h:mm") &amp; "h | " &amp; D61 &amp; "km"
)</f>
        <v>- TRATOR: *1BM6100JTSD602559*_x000D_
- A:2,72 x C:4,56 x L:2,50-3,30 x P:5.600kg_x000D_
- *Cliente*: HAROLDO L R FILHO -NF109957 -NF 45982_x000D_
- *Obs:* MPA_x000D_
- *De*: MACPONTA AGRO DE GUARAPUAVA_x000D_
- *Para*: https://maps.app.goo.gl/SAQGugLBfo1Uqy2XA?g_st=awb_x000D_
- *Ida e volta*: +/- 11:52h | 475km</v>
      </c>
    </row>
    <row r="62" spans="1:21">
      <c r="A62" s="12" t="s">
        <v>177</v>
      </c>
      <c r="B62" s="10" t="s">
        <v>310</v>
      </c>
      <c r="C62" s="97">
        <f>IFERROR((D62*1.5)/1440, "?")</f>
        <v>8.5416666666666669E-2</v>
      </c>
      <c r="D62" s="10">
        <v>82</v>
      </c>
      <c r="E62" s="98"/>
      <c r="F62" s="99"/>
      <c r="G62" s="10" t="s">
        <v>311</v>
      </c>
      <c r="H62" s="100">
        <v>45983</v>
      </c>
      <c r="I62" s="101">
        <v>45983</v>
      </c>
      <c r="J62" s="10" t="s">
        <v>312</v>
      </c>
      <c r="K62" s="10" t="s">
        <v>153</v>
      </c>
      <c r="L62" s="10" t="s">
        <v>148</v>
      </c>
      <c r="M62" s="10" t="s">
        <v>115</v>
      </c>
      <c r="N62" s="12" t="s">
        <v>259</v>
      </c>
      <c r="O62" s="10" t="s">
        <v>117</v>
      </c>
      <c r="P62" s="12" t="s">
        <v>313</v>
      </c>
      <c r="Q62" s="10"/>
      <c r="R62" s="10" t="s">
        <v>148</v>
      </c>
      <c r="S62" s="10" t="s">
        <v>25</v>
      </c>
      <c r="T62" s="2" t="str">
        <f t="shared" si="0"/>
        <v>5080E</v>
      </c>
      <c r="U62" s="2" t="str" cm="1">
        <f t="array" ref="U62">_xlfn.LET(
  _xlpm.ch, TRIM(SUBSTITUTE(G62,CHAR(160),"")),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IF(L62="CLIENTE", O62, IF(LEFT(L62,4)="http", L62, "MACPONTA AGRO DE "&amp;L62)),
  _xlpm.paraBase, IF(M62="CLIENTE", P62, M62),
  _xlpm.paraTxt, IF(LEFT(_xlpm.paraBase,4)="http", _xlpm.paraBase, "MACPONTA AGRO DE "&amp;_xlpm.paraBase),
  _xlpm.nfParte, IF(LEN(TRIM(I62))=0, "", " -NF "&amp;TRIM(I62)),
  "- " &amp; _xlpm.tipotxt &amp; ": *" &amp; G62 &amp; "*" &amp; CHAR(13)&amp;CHAR(10) &amp;
  "- " &amp; _xlpm.dimtxt &amp; CHAR(13)&amp;CHAR(10) &amp;
  "- *Cliente*: " &amp; J62 &amp; _xlpm.nfParte &amp; CHAR(13)&amp;CHAR(10) &amp;
  "- *Obs:* " &amp; O62 &amp; CHAR(13)&amp;CHAR(10) &amp; CHAR(10) &amp;
  "- *De*: " &amp; _xlpm.deTxt &amp; CHAR(13)&amp;CHAR(10) &amp;
  "- *Para*: " &amp; _xlpm.paraTxt &amp; CHAR(13)&amp;CHAR(10) &amp;
  "- *Ida e volta*: +/- " &amp; TEXT(((D62*1.5)/1440),"h:mm") &amp; "h | " &amp; D62 &amp; "km"
)</f>
        <v>- TRATOR: *1BM5080EPS6204421*_x000D_
- A:2,60 x C:4,08 x L:1,45-2,00 x P:5.100kg_x000D_
- *Cliente*: COLONIA ADELAIDE- NÃO TEM NF -NF 45983_x000D_
- *Obs:* MPA_x000D_
- *De*: MACPONTA AGRO DE PONTA GROSSA_x000D_
- *Para*: https://maps.app.goo.gl/BxL47zGps2wAbAig9_x000D_
- *Ida e volta*: +/- 2:03h | 82km</v>
      </c>
    </row>
    <row r="63" spans="1:21">
      <c r="A63" s="12" t="s">
        <v>177</v>
      </c>
      <c r="B63" s="10" t="s">
        <v>310</v>
      </c>
      <c r="C63" s="97">
        <f>IFERROR((D63*1.5)/1440, "?")</f>
        <v>0.15625</v>
      </c>
      <c r="D63" s="10">
        <v>150</v>
      </c>
      <c r="E63" s="98"/>
      <c r="F63" s="99"/>
      <c r="G63" s="10" t="s">
        <v>314</v>
      </c>
      <c r="H63" s="100">
        <v>45983</v>
      </c>
      <c r="I63" s="101">
        <v>45983</v>
      </c>
      <c r="J63" s="10" t="s">
        <v>315</v>
      </c>
      <c r="K63" s="10" t="s">
        <v>302</v>
      </c>
      <c r="L63" s="10" t="s">
        <v>148</v>
      </c>
      <c r="M63" s="10" t="s">
        <v>115</v>
      </c>
      <c r="N63" s="12" t="s">
        <v>259</v>
      </c>
      <c r="O63" s="10" t="s">
        <v>117</v>
      </c>
      <c r="P63" s="137" t="s">
        <v>316</v>
      </c>
      <c r="Q63" s="10" t="s">
        <v>317</v>
      </c>
      <c r="R63" s="10" t="s">
        <v>148</v>
      </c>
      <c r="S63" s="10" t="s">
        <v>25</v>
      </c>
      <c r="T63" s="2" t="str">
        <f t="shared" si="0"/>
        <v>5060E</v>
      </c>
      <c r="U63" s="2" t="str" cm="1">
        <f t="array" ref="U63">_xlfn.LET(
  _xlpm.ch, TRIM(SUBSTITUTE(G63,CHAR(160),"")),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IF(L63="CLIENTE", O63, IF(LEFT(L63,4)="http", L63, "MACPONTA AGRO DE "&amp;L63)),
  _xlpm.paraBase, IF(M63="CLIENTE", P63, M63),
  _xlpm.paraTxt, IF(LEFT(_xlpm.paraBase,4)="http", _xlpm.paraBase, "MACPONTA AGRO DE "&amp;_xlpm.paraBase),
  _xlpm.nfParte, IF(LEN(TRIM(I63))=0, "", " -NF "&amp;TRIM(I63)),
  "- " &amp; _xlpm.tipotxt &amp; ": *" &amp; G63 &amp; "*" &amp; CHAR(13)&amp;CHAR(10) &amp;
  "- " &amp; _xlpm.dimtxt &amp; CHAR(13)&amp;CHAR(10) &amp;
  "- *Cliente*: " &amp; J63 &amp; _xlpm.nfParte &amp; CHAR(13)&amp;CHAR(10) &amp;
  "- *Obs:* " &amp; O63 &amp; CHAR(13)&amp;CHAR(10) &amp; CHAR(10) &amp;
  "- *De*: " &amp; _xlpm.deTxt &amp; CHAR(13)&amp;CHAR(10) &amp;
  "- *Para*: " &amp; _xlpm.paraTxt &amp; CHAR(13)&amp;CHAR(10) &amp;
  "- *Ida e volta*: +/- " &amp; TEXT(((D63*1.5)/1440),"h:mm") &amp; "h | " &amp; D63 &amp; "km"
)</f>
        <v>- TRATOR: *1BM5060EES4201644*_x000D_
- A:2,60 x C:4,08 x L:1,45-2,00 x P:5.100kg_x000D_
- *Cliente*: Conexão JD -NF279152 -NF 45983_x000D_
- *Obs:* MPA_x000D_
- *De*: MACPONTA AGRO DE PONTA GROSSA_x000D_
- *Para*: https://maps.app.goo.gl/tbQZRQV4a7fp35NM6_x000D_
- *Ida e volta*: +/- 3:45h | 150km</v>
      </c>
    </row>
    <row r="64" spans="1:21">
      <c r="A64" s="12" t="s">
        <v>177</v>
      </c>
      <c r="B64" s="10" t="s">
        <v>310</v>
      </c>
      <c r="C64" s="97">
        <f>IFERROR((D64*1.5)/1440, "?")</f>
        <v>0.15625</v>
      </c>
      <c r="D64" s="10">
        <v>150</v>
      </c>
      <c r="E64" s="98"/>
      <c r="F64" s="99"/>
      <c r="G64" s="10" t="s">
        <v>318</v>
      </c>
      <c r="H64" s="100">
        <v>45983</v>
      </c>
      <c r="I64" s="101">
        <v>45983</v>
      </c>
      <c r="J64" s="10" t="s">
        <v>315</v>
      </c>
      <c r="K64" s="10" t="s">
        <v>302</v>
      </c>
      <c r="L64" s="10" t="s">
        <v>148</v>
      </c>
      <c r="M64" s="10" t="s">
        <v>115</v>
      </c>
      <c r="N64" s="12" t="s">
        <v>259</v>
      </c>
      <c r="O64" s="10" t="s">
        <v>117</v>
      </c>
      <c r="P64" s="137" t="s">
        <v>316</v>
      </c>
      <c r="Q64" s="10" t="s">
        <v>317</v>
      </c>
      <c r="R64" s="10" t="s">
        <v>148</v>
      </c>
      <c r="S64" s="10" t="s">
        <v>25</v>
      </c>
      <c r="T64" s="2" t="str">
        <f t="shared" si="0"/>
        <v>5080E</v>
      </c>
      <c r="U64" s="2" t="str" cm="1">
        <f t="array" ref="U64">_xlfn.LET(
  _xlpm.ch, TRIM(SUBSTITUTE(G64,CHAR(160),"")),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IF(L64="CLIENTE", O64, IF(LEFT(L64,4)="http", L64, "MACPONTA AGRO DE "&amp;L64)),
  _xlpm.paraBase, IF(M64="CLIENTE", P64, M64),
  _xlpm.paraTxt, IF(LEFT(_xlpm.paraBase,4)="http", _xlpm.paraBase, "MACPONTA AGRO DE "&amp;_xlpm.paraBase),
  _xlpm.nfParte, IF(LEN(TRIM(I64))=0, "", " -NF "&amp;TRIM(I64)),
  "- " &amp; _xlpm.tipotxt &amp; ": *" &amp; G64 &amp; "*" &amp; CHAR(13)&amp;CHAR(10) &amp;
  "- " &amp; _xlpm.dimtxt &amp; CHAR(13)&amp;CHAR(10) &amp;
  "- *Cliente*: " &amp; J64 &amp; _xlpm.nfParte &amp; CHAR(13)&amp;CHAR(10) &amp;
  "- *Obs:* " &amp; O64 &amp; CHAR(13)&amp;CHAR(10) &amp; CHAR(10) &amp;
  "- *De*: " &amp; _xlpm.deTxt &amp; CHAR(13)&amp;CHAR(10) &amp;
  "- *Para*: " &amp; _xlpm.paraTxt &amp; CHAR(13)&amp;CHAR(10) &amp;
  "- *Ida e volta*: +/- " &amp; TEXT(((D64*1.5)/1440),"h:mm") &amp; "h | " &amp; D64 &amp; "km"
)</f>
        <v>- TRATOR: *1BM5080ECS4204234*_x000D_
- A:2,60 x C:4,08 x L:1,45-2,00 x P:5.100kg_x000D_
- *Cliente*: Conexão JD -NF279152 -NF 45983_x000D_
- *Obs:* MPA_x000D_
- *De*: MACPONTA AGRO DE PONTA GROSSA_x000D_
- *Para*: https://maps.app.goo.gl/tbQZRQV4a7fp35NM6_x000D_
- *Ida e volta*: +/- 3:45h | 150km</v>
      </c>
    </row>
    <row r="65" spans="1:21">
      <c r="A65" s="12" t="s">
        <v>177</v>
      </c>
      <c r="B65" s="10" t="s">
        <v>310</v>
      </c>
      <c r="C65" s="97">
        <f>IFERROR((D65*1.5)/1440, "?")</f>
        <v>0.15625</v>
      </c>
      <c r="D65" s="10">
        <v>150</v>
      </c>
      <c r="E65" s="98"/>
      <c r="F65" s="99"/>
      <c r="G65" s="10" t="s">
        <v>319</v>
      </c>
      <c r="H65" s="100">
        <v>45983</v>
      </c>
      <c r="I65" s="101">
        <v>45983</v>
      </c>
      <c r="J65" s="10" t="s">
        <v>315</v>
      </c>
      <c r="K65" s="10" t="s">
        <v>302</v>
      </c>
      <c r="L65" s="10" t="s">
        <v>148</v>
      </c>
      <c r="M65" s="10" t="s">
        <v>115</v>
      </c>
      <c r="N65" s="12" t="s">
        <v>259</v>
      </c>
      <c r="O65" s="10" t="s">
        <v>117</v>
      </c>
      <c r="P65" s="137" t="s">
        <v>316</v>
      </c>
      <c r="Q65" s="10" t="s">
        <v>317</v>
      </c>
      <c r="R65" s="10" t="s">
        <v>148</v>
      </c>
      <c r="S65" s="10" t="s">
        <v>25</v>
      </c>
      <c r="T65" s="2" t="str">
        <f t="shared" ref="T65:T90" si="1">IF(
  OR(
    IFERROR(FIND("BM",G65),0)&gt;0,
    IFERROR(FIND("PY",G65),0)&gt;0
  ),
  MID(TRIM(SUBSTITUTE(SUBSTITUTE(G65,CHAR(160),""),CHAR(9),"")),4,5),
  MID(TRIM(SUBSTITUTE(SUBSTITUTE(G65,CHAR(160),""),CHAR(9),"")),4,4)
)</f>
        <v>5080E</v>
      </c>
      <c r="U65" s="2" t="str" cm="1">
        <f t="array" ref="U65">_xlfn.LET(
  _xlpm.ch, TRIM(SUBSTITUTE(G65,CHAR(160),"")),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IF(L65="CLIENTE", O65, IF(LEFT(L65,4)="http", L65, "MACPONTA AGRO DE "&amp;L65)),
  _xlpm.paraBase, IF(M65="CLIENTE", P65, M65),
  _xlpm.paraTxt, IF(LEFT(_xlpm.paraBase,4)="http", _xlpm.paraBase, "MACPONTA AGRO DE "&amp;_xlpm.paraBase),
  _xlpm.nfParte, IF(LEN(TRIM(I65))=0, "", " -NF "&amp;TRIM(I65)),
  "- " &amp; _xlpm.tipotxt &amp; ": *" &amp; G65 &amp; "*" &amp; CHAR(13)&amp;CHAR(10) &amp;
  "- " &amp; _xlpm.dimtxt &amp; CHAR(13)&amp;CHAR(10) &amp;
  "- *Cliente*: " &amp; J65 &amp; _xlpm.nfParte &amp; CHAR(13)&amp;CHAR(10) &amp;
  "- *Obs:* " &amp; O65 &amp; CHAR(13)&amp;CHAR(10) &amp; CHAR(10) &amp;
  "- *De*: " &amp; _xlpm.deTxt &amp; CHAR(13)&amp;CHAR(10) &amp;
  "- *Para*: " &amp; _xlpm.paraTxt &amp; CHAR(13)&amp;CHAR(10) &amp;
  "- *Ida e volta*: +/- " &amp; TEXT(((D65*1.5)/1440),"h:mm") &amp; "h | " &amp; D65 &amp; "km"
)</f>
        <v>- TRATOR: *1BM5080ELS4204066*_x000D_
- A:2,60 x C:4,08 x L:1,45-2,00 x P:5.100kg_x000D_
- *Cliente*: Conexão JD -NF279152 -NF 45983_x000D_
- *Obs:* MPA_x000D_
- *De*: MACPONTA AGRO DE PONTA GROSSA_x000D_
- *Para*: https://maps.app.goo.gl/tbQZRQV4a7fp35NM6_x000D_
- *Ida e volta*: +/- 3:45h | 150km</v>
      </c>
    </row>
    <row r="66" spans="1:21">
      <c r="A66" s="12" t="s">
        <v>320</v>
      </c>
      <c r="B66" s="10" t="s">
        <v>55</v>
      </c>
      <c r="C66" s="97">
        <f>IFERROR((D66*1.5)/1440, "?")</f>
        <v>2.6041666666666668E-2</v>
      </c>
      <c r="D66" s="10">
        <v>25</v>
      </c>
      <c r="E66" s="98">
        <f>IFERROR((D66*6),"?")</f>
        <v>150</v>
      </c>
      <c r="F66" s="99"/>
      <c r="G66" s="10" t="s">
        <v>300</v>
      </c>
      <c r="H66" s="100">
        <v>45985</v>
      </c>
      <c r="I66" s="101">
        <v>45985</v>
      </c>
      <c r="J66" s="139" t="s">
        <v>321</v>
      </c>
      <c r="K66" s="10" t="s">
        <v>302</v>
      </c>
      <c r="L66" s="10" t="s">
        <v>148</v>
      </c>
      <c r="M66" s="10" t="s">
        <v>115</v>
      </c>
      <c r="N66" s="12" t="s">
        <v>259</v>
      </c>
      <c r="O66" s="10" t="s">
        <v>117</v>
      </c>
      <c r="P66" s="137" t="s">
        <v>322</v>
      </c>
      <c r="Q66" s="10" t="s">
        <v>323</v>
      </c>
      <c r="R66" s="10" t="s">
        <v>148</v>
      </c>
      <c r="S66" s="10" t="s">
        <v>25</v>
      </c>
      <c r="T66" s="2" t="str">
        <f t="shared" si="1"/>
        <v>7215C</v>
      </c>
      <c r="U66" s="2" t="str" cm="1">
        <f t="array" ref="U66">_xlfn.LET(
  _xlpm.ch, TRIM(SUBSTITUTE(G66,CHAR(160),"")),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IF(L66="CLIENTE", O66, IF(LEFT(L66,4)="http", L66, "MACPONTA AGRO DE "&amp;L66)),
  _xlpm.paraBase, IF(M66="CLIENTE", P66, M66),
  _xlpm.paraTxt, IF(LEFT(_xlpm.paraBase,4)="http", _xlpm.paraBase, "MACPONTA AGRO DE "&amp;_xlpm.paraBase),
  _xlpm.nfParte, IF(LEN(TRIM(I66))=0, "", " -NF "&amp;TRIM(I66)),
  "- " &amp; _xlpm.tipotxt &amp; ": *" &amp; G66 &amp; "*" &amp; CHAR(13)&amp;CHAR(10) &amp;
  "- " &amp; _xlpm.dimtxt &amp; CHAR(13)&amp;CHAR(10) &amp;
  "- *Cliente*: " &amp; J66 &amp; _xlpm.nfParte &amp; CHAR(13)&amp;CHAR(10) &amp;
  "- *Obs:* " &amp; O66 &amp; CHAR(13)&amp;CHAR(10) &amp; CHAR(10) &amp;
  "- *De*: " &amp; _xlpm.deTxt &amp; CHAR(13)&amp;CHAR(10) &amp;
  "- *Para*: " &amp; _xlpm.paraTxt &amp; CHAR(13)&amp;CHAR(10) &amp;
  "- *Ida e volta*: +/- " &amp; TEXT(((D66*1.5)/1440),"h:mm") &amp; "h | " &amp; D66 &amp; "km"
)</f>
        <v>- NÃO ENCONTRADO: *1BM7215CJSH000128*_x000D_
- _x000D_
- *Cliente*: GOLFE CLUB -NF79151 VOLTA -NF 45985_x000D_
- *Obs:* MPA_x000D_
- *De*: MACPONTA AGRO DE PONTA GROSSA_x000D_
- *Para*: https://maps.app.goo.gl/rhzoBgFndL48HhK79_x000D_
- *Ida e volta*: +/- 0:37h | 25km</v>
      </c>
    </row>
    <row r="67" spans="1:21">
      <c r="A67" s="12" t="s">
        <v>320</v>
      </c>
      <c r="B67" s="10" t="s">
        <v>55</v>
      </c>
      <c r="C67" s="97">
        <f>IFERROR((D67*1.5)/1440, "?")</f>
        <v>2.6041666666666668E-2</v>
      </c>
      <c r="D67" s="10">
        <v>25</v>
      </c>
      <c r="E67" s="98">
        <f>IFERROR((D67*6),"?")</f>
        <v>150</v>
      </c>
      <c r="F67" s="99"/>
      <c r="G67" s="10" t="s">
        <v>324</v>
      </c>
      <c r="H67" s="100">
        <v>45985</v>
      </c>
      <c r="I67" s="101">
        <v>45985</v>
      </c>
      <c r="J67" s="139" t="s">
        <v>321</v>
      </c>
      <c r="K67" s="10" t="s">
        <v>302</v>
      </c>
      <c r="L67" s="10" t="s">
        <v>148</v>
      </c>
      <c r="M67" s="10" t="s">
        <v>115</v>
      </c>
      <c r="N67" s="12" t="s">
        <v>259</v>
      </c>
      <c r="O67" s="10" t="s">
        <v>117</v>
      </c>
      <c r="P67" s="137" t="s">
        <v>322</v>
      </c>
      <c r="Q67" s="10" t="s">
        <v>323</v>
      </c>
      <c r="R67" s="10" t="s">
        <v>148</v>
      </c>
      <c r="S67" s="10" t="s">
        <v>25</v>
      </c>
      <c r="T67" s="2" t="str">
        <f t="shared" si="1"/>
        <v>7230C</v>
      </c>
      <c r="U67" s="2" t="str" cm="1">
        <f t="array" ref="U67">_xlfn.LET(
  _xlpm.ch, TRIM(SUBSTITUTE(G67,CHAR(160),"")),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IF(L67="CLIENTE", O67, IF(LEFT(L67,4)="http", L67, "MACPONTA AGRO DE "&amp;L67)),
  _xlpm.paraBase, IF(M67="CLIENTE", P67, M67),
  _xlpm.paraTxt, IF(LEFT(_xlpm.paraBase,4)="http", _xlpm.paraBase, "MACPONTA AGRO DE "&amp;_xlpm.paraBase),
  _xlpm.nfParte, IF(LEN(TRIM(I67))=0, "", " -NF "&amp;TRIM(I67)),
  "- " &amp; _xlpm.tipotxt &amp; ": *" &amp; G67 &amp; "*" &amp; CHAR(13)&amp;CHAR(10) &amp;
  "- " &amp; _xlpm.dimtxt &amp; CHAR(13)&amp;CHAR(10) &amp;
  "- *Cliente*: " &amp; J67 &amp; _xlpm.nfParte &amp; CHAR(13)&amp;CHAR(10) &amp;
  "- *Obs:* " &amp; O67 &amp; CHAR(13)&amp;CHAR(10) &amp; CHAR(10) &amp;
  "- *De*: " &amp; _xlpm.deTxt &amp; CHAR(13)&amp;CHAR(10) &amp;
  "- *Para*: " &amp; _xlpm.paraTxt &amp; CHAR(13)&amp;CHAR(10) &amp;
  "- *Ida e volta*: +/- " &amp; TEXT(((D67*1.5)/1440),"h:mm") &amp; "h | " &amp; D67 &amp; "km"
)</f>
        <v>- NÃO ENCONTRADO: *1BM7230CKS3002086*_x000D_
- _x000D_
- *Cliente*: GOLFE CLUB -NF79151 VOLTA -NF 45985_x000D_
- *Obs:* MPA_x000D_
- *De*: MACPONTA AGRO DE PONTA GROSSA_x000D_
- *Para*: https://maps.app.goo.gl/rhzoBgFndL48HhK79_x000D_
- *Ida e volta*: +/- 0:37h | 25km</v>
      </c>
    </row>
    <row r="68" spans="1:21">
      <c r="A68" s="12" t="s">
        <v>325</v>
      </c>
      <c r="B68" s="10" t="s">
        <v>80</v>
      </c>
      <c r="C68" s="97">
        <f>IFERROR((D68*1.5)/1440, "?")</f>
        <v>0.171875</v>
      </c>
      <c r="D68" s="10">
        <v>165</v>
      </c>
      <c r="E68" s="98"/>
      <c r="F68" s="99"/>
      <c r="G68" s="10" t="s">
        <v>326</v>
      </c>
      <c r="H68" s="100">
        <v>45985</v>
      </c>
      <c r="I68" s="101">
        <v>45985</v>
      </c>
      <c r="J68" s="10" t="s">
        <v>327</v>
      </c>
      <c r="K68" s="10" t="s">
        <v>174</v>
      </c>
      <c r="L68" s="10" t="s">
        <v>49</v>
      </c>
      <c r="M68" s="10" t="s">
        <v>115</v>
      </c>
      <c r="N68" s="12" t="s">
        <v>116</v>
      </c>
      <c r="O68" s="10" t="s">
        <v>117</v>
      </c>
      <c r="P68" s="169" t="s">
        <v>328</v>
      </c>
      <c r="Q68" s="10" t="s">
        <v>329</v>
      </c>
      <c r="R68" s="10" t="s">
        <v>49</v>
      </c>
      <c r="S68" s="10" t="s">
        <v>25</v>
      </c>
      <c r="T68" s="2" t="str">
        <f t="shared" si="1"/>
        <v>5060E</v>
      </c>
      <c r="U68" s="2" t="str" cm="1">
        <f t="array" ref="U68">_xlfn.LET(
  _xlpm.ch, TRIM(SUBSTITUTE(G68,CHAR(160),"")),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IF(L68="CLIENTE", O68, IF(LEFT(L68,4)="http", L68, "MACPONTA AGRO DE "&amp;L68)),
  _xlpm.paraBase, IF(M68="CLIENTE", P68, M68),
  _xlpm.paraTxt, IF(LEFT(_xlpm.paraBase,4)="http", _xlpm.paraBase, "MACPONTA AGRO DE "&amp;_xlpm.paraBase),
  _xlpm.nfParte, IF(LEN(TRIM(I68))=0, "", " -NF "&amp;TRIM(I68)),
  "- " &amp; _xlpm.tipotxt &amp; ": *" &amp; G68 &amp; "*" &amp; CHAR(13)&amp;CHAR(10) &amp;
  "- " &amp; _xlpm.dimtxt &amp; CHAR(13)&amp;CHAR(10) &amp;
  "- *Cliente*: " &amp; J68 &amp; _xlpm.nfParte &amp; CHAR(13)&amp;CHAR(10) &amp;
  "- *Obs:* " &amp; O68 &amp; CHAR(13)&amp;CHAR(10) &amp; CHAR(10) &amp;
  "- *De*: " &amp; _xlpm.deTxt &amp; CHAR(13)&amp;CHAR(10) &amp;
  "- *Para*: " &amp; _xlpm.paraTxt &amp; CHAR(13)&amp;CHAR(10) &amp;
  "- *Ida e volta*: +/- " &amp; TEXT(((D68*1.5)/1440),"h:mm") &amp; "h | " &amp; D68 &amp; "km"
)</f>
        <v>- TRATOR: *1BM5060EPS2200929*_x000D_
- A:2,60 x C:4,08 x L:1,45-2,00 x P:5.100kg_x000D_
- *Cliente*: GERIEL SENE DIVINO -NF?? -NF 45985_x000D_
- *Obs:* MPA_x000D_
- *De*: MACPONTA AGRO DE ARAPOTI_x000D_
- *Para*: https://maps.app.goo.gl/cy4n8tkKBBwiz9GHA_x000D_
- *Ida e volta*: +/- 4:07h | 165km</v>
      </c>
    </row>
    <row r="69" spans="1:21">
      <c r="A69" s="12" t="s">
        <v>320</v>
      </c>
      <c r="B69" s="10" t="s">
        <v>310</v>
      </c>
      <c r="C69" s="97">
        <f>IFERROR((D69*1.5)/1440, "?")</f>
        <v>0.15625</v>
      </c>
      <c r="D69" s="10">
        <v>150</v>
      </c>
      <c r="E69" s="98"/>
      <c r="F69" s="99"/>
      <c r="G69" s="10" t="s">
        <v>314</v>
      </c>
      <c r="H69" s="100">
        <v>45985</v>
      </c>
      <c r="I69" s="101">
        <v>45985</v>
      </c>
      <c r="J69" s="139" t="s">
        <v>330</v>
      </c>
      <c r="K69" s="10" t="s">
        <v>302</v>
      </c>
      <c r="L69" s="10" t="s">
        <v>148</v>
      </c>
      <c r="M69" s="10" t="s">
        <v>115</v>
      </c>
      <c r="N69" s="12" t="s">
        <v>259</v>
      </c>
      <c r="O69" s="10" t="s">
        <v>117</v>
      </c>
      <c r="P69" s="137" t="s">
        <v>316</v>
      </c>
      <c r="Q69" s="10" t="s">
        <v>317</v>
      </c>
      <c r="R69" s="10" t="s">
        <v>148</v>
      </c>
      <c r="S69" s="10" t="s">
        <v>25</v>
      </c>
      <c r="T69" s="2" t="str">
        <f t="shared" si="1"/>
        <v>5060E</v>
      </c>
      <c r="U69" s="2" t="str" cm="1">
        <f t="array" ref="U69">_xlfn.LET(
  _xlpm.ch, TRIM(SUBSTITUTE(G69,CHAR(160),"")),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IF(L69="CLIENTE", O69, IF(LEFT(L69,4)="http", L69, "MACPONTA AGRO DE "&amp;L69)),
  _xlpm.paraBase, IF(M69="CLIENTE", P69, M69),
  _xlpm.paraTxt, IF(LEFT(_xlpm.paraBase,4)="http", _xlpm.paraBase, "MACPONTA AGRO DE "&amp;_xlpm.paraBase),
  _xlpm.nfParte, IF(LEN(TRIM(I69))=0, "", " -NF "&amp;TRIM(I69)),
  "- " &amp; _xlpm.tipotxt &amp; ": *" &amp; G69 &amp; "*" &amp; CHAR(13)&amp;CHAR(10) &amp;
  "- " &amp; _xlpm.dimtxt &amp; CHAR(13)&amp;CHAR(10) &amp;
  "- *Cliente*: " &amp; J69 &amp; _xlpm.nfParte &amp; CHAR(13)&amp;CHAR(10) &amp;
  "- *Obs:* " &amp; O69 &amp; CHAR(13)&amp;CHAR(10) &amp; CHAR(10) &amp;
  "- *De*: " &amp; _xlpm.deTxt &amp; CHAR(13)&amp;CHAR(10) &amp;
  "- *Para*: " &amp; _xlpm.paraTxt &amp; CHAR(13)&amp;CHAR(10) &amp;
  "- *Ida e volta*: +/- " &amp; TEXT(((D69*1.5)/1440),"h:mm") &amp; "h | " &amp; D69 &amp; "km"
)</f>
        <v>- TRATOR: *1BM5060EES4201644*_x000D_
- A:2,60 x C:4,08 x L:1,45-2,00 x P:5.100kg_x000D_
- *Cliente*: Conexão JD -NF279152  VOLTA -NF 45985_x000D_
- *Obs:* MPA_x000D_
- *De*: MACPONTA AGRO DE PONTA GROSSA_x000D_
- *Para*: https://maps.app.goo.gl/tbQZRQV4a7fp35NM6_x000D_
- *Ida e volta*: +/- 3:45h | 150km</v>
      </c>
    </row>
    <row r="70" spans="1:21">
      <c r="A70" s="12" t="s">
        <v>320</v>
      </c>
      <c r="B70" s="10" t="s">
        <v>310</v>
      </c>
      <c r="C70" s="97">
        <f>IFERROR((D70*1.5)/1440, "?")</f>
        <v>0.15625</v>
      </c>
      <c r="D70" s="10">
        <v>150</v>
      </c>
      <c r="E70" s="98"/>
      <c r="F70" s="99"/>
      <c r="G70" s="10" t="s">
        <v>318</v>
      </c>
      <c r="H70" s="100">
        <v>45985</v>
      </c>
      <c r="I70" s="101">
        <v>45985</v>
      </c>
      <c r="J70" s="139" t="s">
        <v>330</v>
      </c>
      <c r="K70" s="10" t="s">
        <v>302</v>
      </c>
      <c r="L70" s="10" t="s">
        <v>148</v>
      </c>
      <c r="M70" s="10" t="s">
        <v>115</v>
      </c>
      <c r="N70" s="12" t="s">
        <v>259</v>
      </c>
      <c r="O70" s="10" t="s">
        <v>117</v>
      </c>
      <c r="P70" s="137" t="s">
        <v>316</v>
      </c>
      <c r="Q70" s="10" t="s">
        <v>317</v>
      </c>
      <c r="R70" s="10" t="s">
        <v>148</v>
      </c>
      <c r="S70" s="10" t="s">
        <v>25</v>
      </c>
      <c r="T70" s="2" t="str">
        <f t="shared" si="1"/>
        <v>5080E</v>
      </c>
      <c r="U70" s="2" t="str" cm="1">
        <f t="array" ref="U70">_xlfn.LET(
  _xlpm.ch, TRIM(SUBSTITUTE(G70,CHAR(160),"")),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IF(L70="CLIENTE", O70, IF(LEFT(L70,4)="http", L70, "MACPONTA AGRO DE "&amp;L70)),
  _xlpm.paraBase, IF(M70="CLIENTE", P70, M70),
  _xlpm.paraTxt, IF(LEFT(_xlpm.paraBase,4)="http", _xlpm.paraBase, "MACPONTA AGRO DE "&amp;_xlpm.paraBase),
  _xlpm.nfParte, IF(LEN(TRIM(I70))=0, "", " -NF "&amp;TRIM(I70)),
  "- " &amp; _xlpm.tipotxt &amp; ": *" &amp; G70 &amp; "*" &amp; CHAR(13)&amp;CHAR(10) &amp;
  "- " &amp; _xlpm.dimtxt &amp; CHAR(13)&amp;CHAR(10) &amp;
  "- *Cliente*: " &amp; J70 &amp; _xlpm.nfParte &amp; CHAR(13)&amp;CHAR(10) &amp;
  "- *Obs:* " &amp; O70 &amp; CHAR(13)&amp;CHAR(10) &amp; CHAR(10) &amp;
  "- *De*: " &amp; _xlpm.deTxt &amp; CHAR(13)&amp;CHAR(10) &amp;
  "- *Para*: " &amp; _xlpm.paraTxt &amp; CHAR(13)&amp;CHAR(10) &amp;
  "- *Ida e volta*: +/- " &amp; TEXT(((D70*1.5)/1440),"h:mm") &amp; "h | " &amp; D70 &amp; "km"
)</f>
        <v>- TRATOR: *1BM5080ECS4204234*_x000D_
- A:2,60 x C:4,08 x L:1,45-2,00 x P:5.100kg_x000D_
- *Cliente*: Conexão JD -NF279152  VOLTA -NF 45985_x000D_
- *Obs:* MPA_x000D_
- *De*: MACPONTA AGRO DE PONTA GROSSA_x000D_
- *Para*: https://maps.app.goo.gl/tbQZRQV4a7fp35NM6_x000D_
- *Ida e volta*: +/- 3:45h | 150km</v>
      </c>
    </row>
    <row r="71" spans="1:21">
      <c r="A71" s="12" t="s">
        <v>320</v>
      </c>
      <c r="B71" s="10" t="s">
        <v>310</v>
      </c>
      <c r="C71" s="97">
        <f>IFERROR((D71*1.5)/1440, "?")</f>
        <v>0.15625</v>
      </c>
      <c r="D71" s="10">
        <v>150</v>
      </c>
      <c r="E71" s="98"/>
      <c r="F71" s="99"/>
      <c r="G71" s="10" t="s">
        <v>319</v>
      </c>
      <c r="H71" s="100">
        <v>45985</v>
      </c>
      <c r="I71" s="101">
        <v>45985</v>
      </c>
      <c r="J71" s="139" t="s">
        <v>330</v>
      </c>
      <c r="K71" s="10" t="s">
        <v>302</v>
      </c>
      <c r="L71" s="10" t="s">
        <v>148</v>
      </c>
      <c r="M71" s="10" t="s">
        <v>115</v>
      </c>
      <c r="N71" s="12" t="s">
        <v>259</v>
      </c>
      <c r="O71" s="10" t="s">
        <v>117</v>
      </c>
      <c r="P71" s="137" t="s">
        <v>316</v>
      </c>
      <c r="Q71" s="10" t="s">
        <v>317</v>
      </c>
      <c r="R71" s="10" t="s">
        <v>148</v>
      </c>
      <c r="S71" s="10" t="s">
        <v>25</v>
      </c>
      <c r="T71" s="2" t="str">
        <f t="shared" si="1"/>
        <v>5080E</v>
      </c>
      <c r="U71" s="2" t="str" cm="1">
        <f t="array" ref="U71">_xlfn.LET(
  _xlpm.ch, TRIM(SUBSTITUTE(G71,CHAR(160),"")),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IF(L71="CLIENTE", O71, IF(LEFT(L71,4)="http", L71, "MACPONTA AGRO DE "&amp;L71)),
  _xlpm.paraBase, IF(M71="CLIENTE", P71, M71),
  _xlpm.paraTxt, IF(LEFT(_xlpm.paraBase,4)="http", _xlpm.paraBase, "MACPONTA AGRO DE "&amp;_xlpm.paraBase),
  _xlpm.nfParte, IF(LEN(TRIM(I71))=0, "", " -NF "&amp;TRIM(I71)),
  "- " &amp; _xlpm.tipotxt &amp; ": *" &amp; G71 &amp; "*" &amp; CHAR(13)&amp;CHAR(10) &amp;
  "- " &amp; _xlpm.dimtxt &amp; CHAR(13)&amp;CHAR(10) &amp;
  "- *Cliente*: " &amp; J71 &amp; _xlpm.nfParte &amp; CHAR(13)&amp;CHAR(10) &amp;
  "- *Obs:* " &amp; O71 &amp; CHAR(13)&amp;CHAR(10) &amp; CHAR(10) &amp;
  "- *De*: " &amp; _xlpm.deTxt &amp; CHAR(13)&amp;CHAR(10) &amp;
  "- *Para*: " &amp; _xlpm.paraTxt &amp; CHAR(13)&amp;CHAR(10) &amp;
  "- *Ida e volta*: +/- " &amp; TEXT(((D71*1.5)/1440),"h:mm") &amp; "h | " &amp; D71 &amp; "km"
)</f>
        <v>- TRATOR: *1BM5080ELS4204066*_x000D_
- A:2,60 x C:4,08 x L:1,45-2,00 x P:5.100kg_x000D_
- *Cliente*: Conexão JD -NF279152  VOLTA -NF 45985_x000D_
- *Obs:* MPA_x000D_
- *De*: MACPONTA AGRO DE PONTA GROSSA_x000D_
- *Para*: https://maps.app.goo.gl/tbQZRQV4a7fp35NM6_x000D_
- *Ida e volta*: +/- 3:45h | 150km</v>
      </c>
    </row>
    <row r="72" spans="1:21">
      <c r="A72" s="12" t="s">
        <v>320</v>
      </c>
      <c r="B72" s="10" t="s">
        <v>310</v>
      </c>
      <c r="C72" s="97">
        <f>IFERROR((D72*1.5)/1440, "?")</f>
        <v>9.375E-2</v>
      </c>
      <c r="D72" s="10">
        <v>90</v>
      </c>
      <c r="E72" s="98"/>
      <c r="F72" s="99"/>
      <c r="G72" s="10" t="s">
        <v>314</v>
      </c>
      <c r="H72" s="100">
        <v>45985</v>
      </c>
      <c r="I72" s="101">
        <v>45985</v>
      </c>
      <c r="J72" s="10" t="s">
        <v>331</v>
      </c>
      <c r="K72" s="10" t="s">
        <v>153</v>
      </c>
      <c r="L72" s="10" t="s">
        <v>148</v>
      </c>
      <c r="M72" s="10" t="s">
        <v>115</v>
      </c>
      <c r="N72" s="12" t="s">
        <v>259</v>
      </c>
      <c r="O72" s="10" t="s">
        <v>117</v>
      </c>
      <c r="P72" s="169" t="s">
        <v>332</v>
      </c>
      <c r="Q72" s="10" t="s">
        <v>333</v>
      </c>
      <c r="R72" s="10" t="s">
        <v>148</v>
      </c>
      <c r="S72" s="10" t="s">
        <v>25</v>
      </c>
      <c r="T72" s="2" t="str">
        <f t="shared" si="1"/>
        <v>5060E</v>
      </c>
      <c r="U72" s="2" t="str" cm="1">
        <f t="array" ref="U72">_xlfn.LET(
  _xlpm.ch, TRIM(SUBSTITUTE(G72,CHAR(160),"")),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IF(L72="CLIENTE", O72, IF(LEFT(L72,4)="http", L72, "MACPONTA AGRO DE "&amp;L72)),
  _xlpm.paraBase, IF(M72="CLIENTE", P72, M72),
  _xlpm.paraTxt, IF(LEFT(_xlpm.paraBase,4)="http", _xlpm.paraBase, "MACPONTA AGRO DE "&amp;_xlpm.paraBase),
  _xlpm.nfParte, IF(LEN(TRIM(I72))=0, "", " -NF "&amp;TRIM(I72)),
  "- " &amp; _xlpm.tipotxt &amp; ": *" &amp; G72 &amp; "*" &amp; CHAR(13)&amp;CHAR(10) &amp;
  "- " &amp; _xlpm.dimtxt &amp; CHAR(13)&amp;CHAR(10) &amp;
  "- *Cliente*: " &amp; J72 &amp; _xlpm.nfParte &amp; CHAR(13)&amp;CHAR(10) &amp;
  "- *Obs:* " &amp; O72 &amp; CHAR(13)&amp;CHAR(10) &amp; CHAR(10) &amp;
  "- *De*: " &amp; _xlpm.deTxt &amp; CHAR(13)&amp;CHAR(10) &amp;
  "- *Para*: " &amp; _xlpm.paraTxt &amp; CHAR(13)&amp;CHAR(10) &amp;
  "- *Ida e volta*: +/- " &amp; TEXT(((D72*1.5)/1440),"h:mm") &amp; "h | " &amp; D72 &amp; "km"
)</f>
        <v>- TRATOR: *1BM5060EES4201644*_x000D_
- A:2,60 x C:4,08 x L:1,45-2,00 x P:5.100kg_x000D_
- *Cliente*: Conexão JD -NF? -NF 45985_x000D_
- *Obs:* MPA_x000D_
- *De*: MACPONTA AGRO DE PONTA GROSSA_x000D_
- *Para*: https://maps.app.goo.gl/3soe1M5yfNku9zP88_x000D_
- *Ida e volta*: +/- 2:15h | 90km</v>
      </c>
    </row>
    <row r="73" spans="1:21">
      <c r="A73" s="12" t="s">
        <v>320</v>
      </c>
      <c r="B73" s="10" t="s">
        <v>310</v>
      </c>
      <c r="C73" s="97">
        <f>IFERROR((D73*1.5)/1440, "?")</f>
        <v>9.375E-2</v>
      </c>
      <c r="D73" s="10">
        <v>90</v>
      </c>
      <c r="E73" s="98"/>
      <c r="F73" s="99"/>
      <c r="G73" s="10" t="s">
        <v>318</v>
      </c>
      <c r="H73" s="100">
        <v>45985</v>
      </c>
      <c r="I73" s="101">
        <v>45985</v>
      </c>
      <c r="J73" s="10" t="s">
        <v>331</v>
      </c>
      <c r="K73" s="10" t="s">
        <v>153</v>
      </c>
      <c r="L73" s="10" t="s">
        <v>148</v>
      </c>
      <c r="M73" s="10" t="s">
        <v>115</v>
      </c>
      <c r="N73" s="12" t="s">
        <v>259</v>
      </c>
      <c r="O73" s="10" t="s">
        <v>117</v>
      </c>
      <c r="P73" s="169" t="s">
        <v>332</v>
      </c>
      <c r="Q73" s="10" t="s">
        <v>333</v>
      </c>
      <c r="R73" s="10" t="s">
        <v>148</v>
      </c>
      <c r="S73" s="10" t="s">
        <v>25</v>
      </c>
      <c r="T73" s="2" t="str">
        <f t="shared" si="1"/>
        <v>5080E</v>
      </c>
      <c r="U73" s="2" t="str" cm="1">
        <f t="array" ref="U73">_xlfn.LET(
  _xlpm.ch, TRIM(SUBSTITUTE(G73,CHAR(160),"")),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IF(L73="CLIENTE", O73, IF(LEFT(L73,4)="http", L73, "MACPONTA AGRO DE "&amp;L73)),
  _xlpm.paraBase, IF(M73="CLIENTE", P73, M73),
  _xlpm.paraTxt, IF(LEFT(_xlpm.paraBase,4)="http", _xlpm.paraBase, "MACPONTA AGRO DE "&amp;_xlpm.paraBase),
  _xlpm.nfParte, IF(LEN(TRIM(I73))=0, "", " -NF "&amp;TRIM(I73)),
  "- " &amp; _xlpm.tipotxt &amp; ": *" &amp; G73 &amp; "*" &amp; CHAR(13)&amp;CHAR(10) &amp;
  "- " &amp; _xlpm.dimtxt &amp; CHAR(13)&amp;CHAR(10) &amp;
  "- *Cliente*: " &amp; J73 &amp; _xlpm.nfParte &amp; CHAR(13)&amp;CHAR(10) &amp;
  "- *Obs:* " &amp; O73 &amp; CHAR(13)&amp;CHAR(10) &amp; CHAR(10) &amp;
  "- *De*: " &amp; _xlpm.deTxt &amp; CHAR(13)&amp;CHAR(10) &amp;
  "- *Para*: " &amp; _xlpm.paraTxt &amp; CHAR(13)&amp;CHAR(10) &amp;
  "- *Ida e volta*: +/- " &amp; TEXT(((D73*1.5)/1440),"h:mm") &amp; "h | " &amp; D73 &amp; "km"
)</f>
        <v>- TRATOR: *1BM5080ECS4204234*_x000D_
- A:2,60 x C:4,08 x L:1,45-2,00 x P:5.100kg_x000D_
- *Cliente*: Conexão JD -NF? -NF 45985_x000D_
- *Obs:* MPA_x000D_
- *De*: MACPONTA AGRO DE PONTA GROSSA_x000D_
- *Para*: https://maps.app.goo.gl/3soe1M5yfNku9zP88_x000D_
- *Ida e volta*: +/- 2:15h | 90km</v>
      </c>
    </row>
    <row r="74" spans="1:21">
      <c r="A74" s="12" t="s">
        <v>320</v>
      </c>
      <c r="B74" s="10" t="s">
        <v>310</v>
      </c>
      <c r="C74" s="97">
        <f>IFERROR((D74*1.5)/1440, "?")</f>
        <v>9.375E-2</v>
      </c>
      <c r="D74" s="10">
        <v>90</v>
      </c>
      <c r="E74" s="98"/>
      <c r="F74" s="99"/>
      <c r="G74" s="10" t="s">
        <v>319</v>
      </c>
      <c r="H74" s="100">
        <v>45985</v>
      </c>
      <c r="I74" s="101">
        <v>45985</v>
      </c>
      <c r="J74" s="10" t="s">
        <v>331</v>
      </c>
      <c r="K74" s="10" t="s">
        <v>153</v>
      </c>
      <c r="L74" s="10" t="s">
        <v>148</v>
      </c>
      <c r="M74" s="10" t="s">
        <v>115</v>
      </c>
      <c r="N74" s="12" t="s">
        <v>259</v>
      </c>
      <c r="O74" s="10" t="s">
        <v>117</v>
      </c>
      <c r="P74" s="169" t="s">
        <v>332</v>
      </c>
      <c r="Q74" s="10" t="s">
        <v>333</v>
      </c>
      <c r="R74" s="10" t="s">
        <v>148</v>
      </c>
      <c r="S74" s="10" t="s">
        <v>25</v>
      </c>
      <c r="T74" s="2" t="str">
        <f t="shared" si="1"/>
        <v>5080E</v>
      </c>
      <c r="U74" s="2" t="str" cm="1">
        <f t="array" ref="U74">_xlfn.LET(
  _xlpm.ch, TRIM(SUBSTITUTE(G74,CHAR(160),"")),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IF(L74="CLIENTE", O74, IF(LEFT(L74,4)="http", L74, "MACPONTA AGRO DE "&amp;L74)),
  _xlpm.paraBase, IF(M74="CLIENTE", P74, M74),
  _xlpm.paraTxt, IF(LEFT(_xlpm.paraBase,4)="http", _xlpm.paraBase, "MACPONTA AGRO DE "&amp;_xlpm.paraBase),
  _xlpm.nfParte, IF(LEN(TRIM(I74))=0, "", " -NF "&amp;TRIM(I74)),
  "- " &amp; _xlpm.tipotxt &amp; ": *" &amp; G74 &amp; "*" &amp; CHAR(13)&amp;CHAR(10) &amp;
  "- " &amp; _xlpm.dimtxt &amp; CHAR(13)&amp;CHAR(10) &amp;
  "- *Cliente*: " &amp; J74 &amp; _xlpm.nfParte &amp; CHAR(13)&amp;CHAR(10) &amp;
  "- *Obs:* " &amp; O74 &amp; CHAR(13)&amp;CHAR(10) &amp; CHAR(10) &amp;
  "- *De*: " &amp; _xlpm.deTxt &amp; CHAR(13)&amp;CHAR(10) &amp;
  "- *Para*: " &amp; _xlpm.paraTxt &amp; CHAR(13)&amp;CHAR(10) &amp;
  "- *Ida e volta*: +/- " &amp; TEXT(((D74*1.5)/1440),"h:mm") &amp; "h | " &amp; D74 &amp; "km"
)</f>
        <v>- TRATOR: *1BM5080ELS4204066*_x000D_
- A:2,60 x C:4,08 x L:1,45-2,00 x P:5.100kg_x000D_
- *Cliente*: Conexão JD -NF? -NF 45985_x000D_
- *Obs:* MPA_x000D_
- *De*: MACPONTA AGRO DE PONTA GROSSA_x000D_
- *Para*: https://maps.app.goo.gl/3soe1M5yfNku9zP88_x000D_
- *Ida e volta*: +/- 2:15h | 90km</v>
      </c>
    </row>
    <row r="75" spans="1:21">
      <c r="A75" s="12" t="s">
        <v>334</v>
      </c>
      <c r="B75" s="10" t="s">
        <v>335</v>
      </c>
      <c r="C75" s="97">
        <f>IFERROR((D75*1.5)/1440, "?")</f>
        <v>0.14791666666666667</v>
      </c>
      <c r="D75" s="10">
        <v>142</v>
      </c>
      <c r="E75" s="98">
        <f>IFERROR((D75*6),"?")</f>
        <v>852</v>
      </c>
      <c r="F75" s="99"/>
      <c r="G75" s="10" t="s">
        <v>257</v>
      </c>
      <c r="H75" s="100">
        <v>45986</v>
      </c>
      <c r="I75" s="101"/>
      <c r="J75" s="10" t="s">
        <v>336</v>
      </c>
      <c r="K75" s="10" t="s">
        <v>302</v>
      </c>
      <c r="L75" s="10" t="s">
        <v>59</v>
      </c>
      <c r="M75" s="10" t="s">
        <v>115</v>
      </c>
      <c r="N75" s="12" t="s">
        <v>259</v>
      </c>
      <c r="O75" s="10" t="s">
        <v>117</v>
      </c>
      <c r="P75" s="137" t="s">
        <v>337</v>
      </c>
      <c r="Q75" s="10" t="s">
        <v>338</v>
      </c>
      <c r="R75" s="10" t="s">
        <v>59</v>
      </c>
      <c r="S75" s="10" t="s">
        <v>25</v>
      </c>
      <c r="T75" s="2" t="str">
        <f t="shared" si="1"/>
        <v>5080E</v>
      </c>
      <c r="U75" s="2" t="str" cm="1">
        <f t="array" ref="U75">_xlfn.LET(
  _xlpm.ch, TRIM(SUBSTITUTE(G75,CHAR(160),"")),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IF(L75="CLIENTE", O75, IF(LEFT(L75,4)="http", L75, "MACPONTA AGRO DE "&amp;L75)),
  _xlpm.paraBase, IF(M75="CLIENTE", P75, M75),
  _xlpm.paraTxt, IF(LEFT(_xlpm.paraBase,4)="http", _xlpm.paraBase, "MACPONTA AGRO DE "&amp;_xlpm.paraBase),
  _xlpm.nfParte, IF(LEN(TRIM(I75))=0, "", " -NF "&amp;TRIM(I75)),
  "- " &amp; _xlpm.tipotxt &amp; ": *" &amp; G75 &amp; "*" &amp; CHAR(13)&amp;CHAR(10) &amp;
  "- " &amp; _xlpm.dimtxt &amp; CHAR(13)&amp;CHAR(10) &amp;
  "- *Cliente*: " &amp; J75 &amp; _xlpm.nfParte &amp; CHAR(13)&amp;CHAR(10) &amp;
  "- *Obs:* " &amp; O75 &amp; CHAR(13)&amp;CHAR(10) &amp; CHAR(10) &amp;
  "- *De*: " &amp; _xlpm.deTxt &amp; CHAR(13)&amp;CHAR(10) &amp;
  "- *Para*: " &amp; _xlpm.paraTxt &amp; CHAR(13)&amp;CHAR(10) &amp;
  "- *Ida e volta*: +/- " &amp; TEXT(((D75*1.5)/1440),"h:mm") &amp; "h | " &amp; D75 &amp; "km"
)</f>
        <v>- TRATOR: *1BM5080ETS6204305*_x000D_
- A:2,60 x C:4,08 x L:1,45-2,00 x P:5.100kg_x000D_
- *Cliente*: NÃO INFORMADO- NÃO TEM NF_x000D_
- *Obs:* MPA_x000D_
- *De*: MACPONTA AGRO DE CASTRO_x000D_
- *Para*: https://maps.app.goo.gl/kgJbu1HMjsUxtg7P7_x000D_
- *Ida e volta*: +/- 3:33h | 142km</v>
      </c>
    </row>
    <row r="76" spans="1:21">
      <c r="A76" s="12" t="s">
        <v>334</v>
      </c>
      <c r="B76" s="10" t="s">
        <v>335</v>
      </c>
      <c r="C76" s="97">
        <f>IFERROR((D76*1.5)/1440, "?")</f>
        <v>0.14791666666666667</v>
      </c>
      <c r="D76" s="10">
        <v>142</v>
      </c>
      <c r="E76" s="98">
        <f>IFERROR((D76*6),"?")</f>
        <v>852</v>
      </c>
      <c r="F76" s="99"/>
      <c r="G76" s="10" t="s">
        <v>262</v>
      </c>
      <c r="H76" s="100">
        <v>45986</v>
      </c>
      <c r="I76" s="101"/>
      <c r="J76" s="10" t="s">
        <v>336</v>
      </c>
      <c r="K76" s="10" t="s">
        <v>302</v>
      </c>
      <c r="L76" s="10" t="s">
        <v>59</v>
      </c>
      <c r="M76" s="10" t="s">
        <v>115</v>
      </c>
      <c r="N76" s="12" t="s">
        <v>259</v>
      </c>
      <c r="O76" s="10" t="s">
        <v>117</v>
      </c>
      <c r="P76" s="137" t="s">
        <v>337</v>
      </c>
      <c r="Q76" s="10" t="s">
        <v>338</v>
      </c>
      <c r="R76" s="10" t="s">
        <v>59</v>
      </c>
      <c r="S76" s="10" t="s">
        <v>25</v>
      </c>
      <c r="T76" s="2" t="str">
        <f t="shared" si="1"/>
        <v>5080E</v>
      </c>
      <c r="U76" s="2" t="str" cm="1">
        <f t="array" ref="U76">_xlfn.LET(
  _xlpm.ch, TRIM(SUBSTITUTE(G76,CHAR(160),"")),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IF(L76="CLIENTE", O76, IF(LEFT(L76,4)="http", L76, "MACPONTA AGRO DE "&amp;L76)),
  _xlpm.paraBase, IF(M76="CLIENTE", P76, M76),
  _xlpm.paraTxt, IF(LEFT(_xlpm.paraBase,4)="http", _xlpm.paraBase, "MACPONTA AGRO DE "&amp;_xlpm.paraBase),
  _xlpm.nfParte, IF(LEN(TRIM(I76))=0, "", " -NF "&amp;TRIM(I76)),
  "- " &amp; _xlpm.tipotxt &amp; ": *" &amp; G76 &amp; "*" &amp; CHAR(13)&amp;CHAR(10) &amp;
  "- " &amp; _xlpm.dimtxt &amp; CHAR(13)&amp;CHAR(10) &amp;
  "- *Cliente*: " &amp; J76 &amp; _xlpm.nfParte &amp; CHAR(13)&amp;CHAR(10) &amp;
  "- *Obs:* " &amp; O76 &amp; CHAR(13)&amp;CHAR(10) &amp; CHAR(10) &amp;
  "- *De*: " &amp; _xlpm.deTxt &amp; CHAR(13)&amp;CHAR(10) &amp;
  "- *Para*: " &amp; _xlpm.paraTxt &amp; CHAR(13)&amp;CHAR(10) &amp;
  "- *Ida e volta*: +/- " &amp; TEXT(((D76*1.5)/1440),"h:mm") &amp; "h | " &amp; D76 &amp; "km"
)</f>
        <v>- TRATOR: *1BM5080EVS4204226*_x000D_
- A:2,60 x C:4,08 x L:1,45-2,00 x P:5.100kg_x000D_
- *Cliente*: NÃO INFORMADO- NÃO TEM NF_x000D_
- *Obs:* MPA_x000D_
- *De*: MACPONTA AGRO DE CASTRO_x000D_
- *Para*: https://maps.app.goo.gl/kgJbu1HMjsUxtg7P7_x000D_
- *Ida e volta*: +/- 3:33h | 142km</v>
      </c>
    </row>
    <row r="77" spans="1:21">
      <c r="A77" s="12" t="s">
        <v>334</v>
      </c>
      <c r="B77" s="10" t="s">
        <v>335</v>
      </c>
      <c r="C77" s="97">
        <f>IFERROR((D77*1.5)/1440, "?")</f>
        <v>0.14791666666666667</v>
      </c>
      <c r="D77" s="10">
        <v>142</v>
      </c>
      <c r="E77" s="98">
        <v>200</v>
      </c>
      <c r="F77" s="99"/>
      <c r="G77" s="10" t="s">
        <v>339</v>
      </c>
      <c r="H77" s="100">
        <v>45986</v>
      </c>
      <c r="I77" s="101"/>
      <c r="J77" s="10" t="s">
        <v>336</v>
      </c>
      <c r="K77" s="10" t="s">
        <v>302</v>
      </c>
      <c r="L77" s="10" t="s">
        <v>59</v>
      </c>
      <c r="M77" s="10" t="s">
        <v>115</v>
      </c>
      <c r="N77" s="12" t="s">
        <v>259</v>
      </c>
      <c r="O77" s="10" t="s">
        <v>117</v>
      </c>
      <c r="P77" s="137" t="s">
        <v>337</v>
      </c>
      <c r="Q77" s="10" t="s">
        <v>338</v>
      </c>
      <c r="R77" s="10" t="s">
        <v>59</v>
      </c>
      <c r="S77" s="10" t="s">
        <v>23</v>
      </c>
      <c r="T77" s="2" t="str">
        <f t="shared" si="1"/>
        <v>FA25</v>
      </c>
      <c r="U77" s="2" t="str" cm="1">
        <f t="array" ref="U77">_xlfn.LET(
  _xlpm.ch, TRIM(SUBSTITUTE(G77,CHAR(160),"")),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IF(L77="CLIENTE", O77, IF(LEFT(L77,4)="http", L77, "MACPONTA AGRO DE "&amp;L77)),
  _xlpm.paraBase, IF(M77="CLIENTE", P77, M77),
  _xlpm.paraTxt, IF(LEFT(_xlpm.paraBase,4)="http", _xlpm.paraBase, "MACPONTA AGRO DE "&amp;_xlpm.paraBase),
  _xlpm.nfParte, IF(LEN(TRIM(I77))=0, "", " -NF "&amp;TRIM(I77)),
  "- " &amp; _xlpm.tipotxt &amp; ": *" &amp; G77 &amp; "*" &amp; CHAR(13)&amp;CHAR(10) &amp;
  "- " &amp; _xlpm.dimtxt &amp; CHAR(13)&amp;CHAR(10) &amp;
  "- *Cliente*: " &amp; J77 &amp; _xlpm.nfParte &amp; CHAR(13)&amp;CHAR(10) &amp;
  "- *Obs:* " &amp; O77 &amp; CHAR(13)&amp;CHAR(10) &amp; CHAR(10) &amp;
  "- *De*: " &amp; _xlpm.deTxt &amp; CHAR(13)&amp;CHAR(10) &amp;
  "- *Para*: " &amp; _xlpm.paraTxt &amp; CHAR(13)&amp;CHAR(10) &amp;
  "- *Ida e volta*: +/- " &amp; TEXT(((D77*1.5)/1440),"h:mm") &amp; "h | " &amp; D77 &amp; "km"
)</f>
        <v>- PLATAFORMA: *1CQFA25ALS0160148*_x000D_
- A:1,60 x C:7,60 x L:1,80-1,80 x P:2.100kg_x000D_
- *Cliente*: NÃO INFORMADO- NÃO TEM NF_x000D_
- *Obs:* MPA_x000D_
- *De*: MACPONTA AGRO DE CASTRO_x000D_
- *Para*: https://maps.app.goo.gl/kgJbu1HMjsUxtg7P7_x000D_
- *Ida e volta*: +/- 3:33h | 142km</v>
      </c>
    </row>
    <row r="78" spans="1:21">
      <c r="A78" s="12" t="s">
        <v>334</v>
      </c>
      <c r="B78" s="10" t="s">
        <v>335</v>
      </c>
      <c r="C78" s="97">
        <f>IFERROR((D78*1.5)/1440, "?")</f>
        <v>0.14791666666666667</v>
      </c>
      <c r="D78" s="10">
        <v>142</v>
      </c>
      <c r="E78" s="98">
        <v>800</v>
      </c>
      <c r="F78" s="99"/>
      <c r="G78" s="10" t="s">
        <v>340</v>
      </c>
      <c r="H78" s="100">
        <v>45986</v>
      </c>
      <c r="I78" s="101"/>
      <c r="J78" s="10" t="s">
        <v>336</v>
      </c>
      <c r="K78" s="10" t="s">
        <v>302</v>
      </c>
      <c r="L78" s="10" t="s">
        <v>59</v>
      </c>
      <c r="M78" s="10" t="s">
        <v>115</v>
      </c>
      <c r="N78" s="12" t="s">
        <v>259</v>
      </c>
      <c r="O78" s="10" t="s">
        <v>117</v>
      </c>
      <c r="P78" s="137" t="s">
        <v>337</v>
      </c>
      <c r="Q78" s="10" t="s">
        <v>338</v>
      </c>
      <c r="R78" s="10" t="s">
        <v>59</v>
      </c>
      <c r="S78" s="10" t="s">
        <v>21</v>
      </c>
      <c r="T78" s="2" t="str">
        <f t="shared" si="1"/>
        <v>S440</v>
      </c>
      <c r="U78" s="2" t="str" cm="1">
        <f t="array" ref="U78">_xlfn.LET(
  _xlpm.ch, TRIM(SUBSTITUTE(G78,CHAR(160),"")),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IF(L78="CLIENTE", O78, IF(LEFT(L78,4)="http", L78, "MACPONTA AGRO DE "&amp;L78)),
  _xlpm.paraBase, IF(M78="CLIENTE", P78, M78),
  _xlpm.paraTxt, IF(LEFT(_xlpm.paraBase,4)="http", _xlpm.paraBase, "MACPONTA AGRO DE "&amp;_xlpm.paraBase),
  _xlpm.nfParte, IF(LEN(TRIM(I78))=0, "", " -NF "&amp;TRIM(I78)),
  "- " &amp; _xlpm.tipotxt &amp; ": *" &amp; G78 &amp; "*" &amp; CHAR(13)&amp;CHAR(10) &amp;
  "- " &amp; _xlpm.dimtxt &amp; CHAR(13)&amp;CHAR(10) &amp;
  "- *Cliente*: " &amp; J78 &amp; _xlpm.nfParte &amp; CHAR(13)&amp;CHAR(10) &amp;
  "- *Obs:* " &amp; O78 &amp; CHAR(13)&amp;CHAR(10) &amp; CHAR(10) &amp;
  "- *De*: " &amp; _xlpm.deTxt &amp; CHAR(13)&amp;CHAR(10) &amp;
  "- *Para*: " &amp; _xlpm.paraTxt &amp; CHAR(13)&amp;CHAR(10) &amp;
  "- *Ida e volta*: +/- " &amp; TEXT(((D78*1.5)/1440),"h:mm") &amp; "h | " &amp; D78 &amp; "km"
)</f>
        <v>- COLHEITADEIRA: *1CQS440AVS0155148*_x000D_
- A:4,10 x C:7,70 x L:3,40-4,10 x P:11.800kg_x000D_
- *Cliente*: NÃO INFORMADO- NÃO TEM NF_x000D_
- *Obs:* MPA_x000D_
- *De*: MACPONTA AGRO DE CASTRO_x000D_
- *Para*: https://maps.app.goo.gl/kgJbu1HMjsUxtg7P7_x000D_
- *Ida e volta*: +/- 3:33h | 142km</v>
      </c>
    </row>
    <row r="79" spans="1:21">
      <c r="A79" s="12" t="s">
        <v>334</v>
      </c>
      <c r="B79" s="10" t="s">
        <v>335</v>
      </c>
      <c r="C79" s="97">
        <f>IFERROR((D79*1.5)/1440, "?")</f>
        <v>0.20833333333333334</v>
      </c>
      <c r="D79" s="10">
        <v>200</v>
      </c>
      <c r="E79" s="98">
        <f>IFERROR((D79*6),"?")</f>
        <v>1200</v>
      </c>
      <c r="F79" s="99"/>
      <c r="G79" s="10" t="s">
        <v>266</v>
      </c>
      <c r="H79" s="100">
        <v>45987</v>
      </c>
      <c r="I79" s="101"/>
      <c r="J79" s="139" t="s">
        <v>341</v>
      </c>
      <c r="K79" s="10" t="s">
        <v>174</v>
      </c>
      <c r="L79" s="10" t="s">
        <v>115</v>
      </c>
      <c r="M79" s="10" t="s">
        <v>115</v>
      </c>
      <c r="N79" s="12" t="s">
        <v>268</v>
      </c>
      <c r="O79" s="10" t="s">
        <v>117</v>
      </c>
      <c r="P79" s="137" t="s">
        <v>269</v>
      </c>
      <c r="Q79" s="10"/>
      <c r="R79" s="10" t="s">
        <v>49</v>
      </c>
      <c r="S79" s="10" t="s">
        <v>25</v>
      </c>
      <c r="T79" s="2" t="str">
        <f t="shared" si="1"/>
        <v>7230C</v>
      </c>
      <c r="U79" s="2" t="str" cm="1">
        <f t="array" ref="U79">_xlfn.LET(
  _xlpm.ch, TRIM(SUBSTITUTE(G79,CHAR(160),"")),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IF(L79="CLIENTE", O79, IF(LEFT(L79,4)="http", L79, "MACPONTA AGRO DE "&amp;L79)),
  _xlpm.paraBase, IF(M79="CLIENTE", P79, M79),
  _xlpm.paraTxt, IF(LEFT(_xlpm.paraBase,4)="http", _xlpm.paraBase, "MACPONTA AGRO DE "&amp;_xlpm.paraBase),
  _xlpm.nfParte, IF(LEN(TRIM(I79))=0, "", " -NF "&amp;TRIM(I79)),
  "- " &amp; _xlpm.tipotxt &amp; ": *" &amp; G79 &amp; "*" &amp; CHAR(13)&amp;CHAR(10) &amp;
  "- " &amp; _xlpm.dimtxt &amp; CHAR(13)&amp;CHAR(10) &amp;
  "- *Cliente*: " &amp; J79 &amp; _xlpm.nfParte &amp; CHAR(13)&amp;CHAR(10) &amp;
  "- *Obs:* " &amp; O79 &amp; CHAR(13)&amp;CHAR(10) &amp; CHAR(10) &amp;
  "- *De*: " &amp; _xlpm.deTxt &amp; CHAR(13)&amp;CHAR(10) &amp;
  "- *Para*: " &amp; _xlpm.paraTxt &amp; CHAR(13)&amp;CHAR(10) &amp;
  "- *Ida e volta*: +/- " &amp; TEXT(((D79*1.5)/1440),"h:mm") &amp; "h | " &amp; D79 &amp; "km"
)</f>
        <v>- NÃO ENCONTRADO: *1BM7230CVS3001962*_x000D_
- _x000D_
- *Cliente*: FAZENDINHA -NF61895  VOLTA_x000D_
- *Obs:* MPA_x000D_
- *De*: MPA_x000D_
- *Para*: https://maps.app.goo.gl/HAQzMitpSPVxhKFi9_x000D_
- *Ida e volta*: +/- 5:00h | 200km</v>
      </c>
    </row>
    <row r="80" spans="1:21">
      <c r="A80" s="12" t="s">
        <v>334</v>
      </c>
      <c r="B80" s="10" t="s">
        <v>335</v>
      </c>
      <c r="C80" s="97">
        <f>IFERROR((D80*1.5)/1440, "?")</f>
        <v>0.19479166666666667</v>
      </c>
      <c r="D80" s="10">
        <v>187</v>
      </c>
      <c r="E80" s="98">
        <f>IFERROR((D80*6),"?")</f>
        <v>1122</v>
      </c>
      <c r="F80" s="99"/>
      <c r="G80" s="10" t="s">
        <v>274</v>
      </c>
      <c r="H80" s="100">
        <v>45987</v>
      </c>
      <c r="I80" s="101"/>
      <c r="J80" s="139" t="s">
        <v>341</v>
      </c>
      <c r="K80" s="10" t="s">
        <v>174</v>
      </c>
      <c r="L80" s="10" t="s">
        <v>49</v>
      </c>
      <c r="M80" s="10" t="s">
        <v>115</v>
      </c>
      <c r="N80" s="12" t="s">
        <v>125</v>
      </c>
      <c r="O80" s="10" t="s">
        <v>117</v>
      </c>
      <c r="P80" s="137" t="s">
        <v>269</v>
      </c>
      <c r="Q80" s="10"/>
      <c r="R80" s="10" t="s">
        <v>49</v>
      </c>
      <c r="S80" s="10" t="s">
        <v>22</v>
      </c>
      <c r="T80" s="2" t="str">
        <f t="shared" si="1"/>
        <v>1213</v>
      </c>
      <c r="U80" s="2" t="str" cm="1">
        <f t="array" ref="U80">_xlfn.LET(
  _xlpm.ch, TRIM(SUBSTITUTE(G80,CHAR(160),"")),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IF(L80="CLIENTE", O80, IF(LEFT(L80,4)="http", L80, "MACPONTA AGRO DE "&amp;L80)),
  _xlpm.paraBase, IF(M80="CLIENTE", P80, M80),
  _xlpm.paraTxt, IF(LEFT(_xlpm.paraBase,4)="http", _xlpm.paraBase, "MACPONTA AGRO DE "&amp;_xlpm.paraBase),
  _xlpm.nfParte, IF(LEN(TRIM(I80))=0, "", " -NF "&amp;TRIM(I80)),
  "- " &amp; _xlpm.tipotxt &amp; ": *" &amp; G80 &amp; "*" &amp; CHAR(13)&amp;CHAR(10) &amp;
  "- " &amp; _xlpm.dimtxt &amp; CHAR(13)&amp;CHAR(10) &amp;
  "- *Cliente*: " &amp; J80 &amp; _xlpm.nfParte &amp; CHAR(13)&amp;CHAR(10) &amp;
  "- *Obs:* " &amp; O80 &amp; CHAR(13)&amp;CHAR(10) &amp; CHAR(10) &amp;
  "- *De*: " &amp; _xlpm.deTxt &amp; CHAR(13)&amp;CHAR(10) &amp;
  "- *Para*: " &amp; _xlpm.paraTxt &amp; CHAR(13)&amp;CHAR(10) &amp;
  "- *Ida e volta*: +/- " &amp; TEXT(((D80*1.5)/1440),"h:mm") &amp; "h | " &amp; D80 &amp; "km"
)</f>
        <v>- PLANTADEIRA: *1CQ1213AHS0155196*_x000D_
- A:2,45 x C:7,00 x L:3,20-3,20 x P:6.025kg_x000D_
- *Cliente*: FAZENDINHA -NF61895  VOLTA_x000D_
- *Obs:* MPA_x000D_
- *De*: MACPONTA AGRO DE ARAPOTI_x000D_
- *Para*: https://maps.app.goo.gl/HAQzMitpSPVxhKFi9_x000D_
- *Ida e volta*: +/- 4:40h | 187km</v>
      </c>
    </row>
    <row r="81" spans="1:21">
      <c r="A81" s="12" t="s">
        <v>334</v>
      </c>
      <c r="B81" s="10" t="s">
        <v>335</v>
      </c>
      <c r="C81" s="97">
        <f>IFERROR((D81*1.5)/1440, "?")</f>
        <v>0.29791666666666666</v>
      </c>
      <c r="D81" s="10">
        <v>286</v>
      </c>
      <c r="E81" s="98">
        <f>IFERROR((D81*6),"?")</f>
        <v>1716</v>
      </c>
      <c r="F81" s="99"/>
      <c r="G81" s="10" t="s">
        <v>257</v>
      </c>
      <c r="H81" s="100">
        <v>45987</v>
      </c>
      <c r="I81" s="101"/>
      <c r="J81" s="10" t="s">
        <v>336</v>
      </c>
      <c r="K81" s="10" t="s">
        <v>302</v>
      </c>
      <c r="L81" s="10" t="s">
        <v>72</v>
      </c>
      <c r="M81" s="10" t="s">
        <v>115</v>
      </c>
      <c r="N81" s="12" t="s">
        <v>259</v>
      </c>
      <c r="O81" s="10" t="s">
        <v>117</v>
      </c>
      <c r="P81" s="137" t="s">
        <v>342</v>
      </c>
      <c r="Q81" s="10" t="s">
        <v>343</v>
      </c>
      <c r="R81" s="10" t="s">
        <v>72</v>
      </c>
      <c r="S81" s="10" t="s">
        <v>25</v>
      </c>
      <c r="T81" s="2" t="str">
        <f t="shared" si="1"/>
        <v>5080E</v>
      </c>
      <c r="U81" s="2" t="str" cm="1">
        <f t="array" ref="U81">_xlfn.LET(
  _xlpm.ch, TRIM(SUBSTITUTE(G81,CHAR(160),"")),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IF(L81="CLIENTE", O81, IF(LEFT(L81,4)="http", L81, "MACPONTA AGRO DE "&amp;L81)),
  _xlpm.paraBase, IF(M81="CLIENTE", P81, M81),
  _xlpm.paraTxt, IF(LEFT(_xlpm.paraBase,4)="http", _xlpm.paraBase, "MACPONTA AGRO DE "&amp;_xlpm.paraBase),
  _xlpm.nfParte, IF(LEN(TRIM(I81))=0, "", " -NF "&amp;TRIM(I81)),
  "- " &amp; _xlpm.tipotxt &amp; ": *" &amp; G81 &amp; "*" &amp; CHAR(13)&amp;CHAR(10) &amp;
  "- " &amp; _xlpm.dimtxt &amp; CHAR(13)&amp;CHAR(10) &amp;
  "- *Cliente*: " &amp; J81 &amp; _xlpm.nfParte &amp; CHAR(13)&amp;CHAR(10) &amp;
  "- *Obs:* " &amp; O81 &amp; CHAR(13)&amp;CHAR(10) &amp; CHAR(10) &amp;
  "- *De*: " &amp; _xlpm.deTxt &amp; CHAR(13)&amp;CHAR(10) &amp;
  "- *Para*: " &amp; _xlpm.paraTxt &amp; CHAR(13)&amp;CHAR(10) &amp;
  "- *Ida e volta*: +/- " &amp; TEXT(((D81*1.5)/1440),"h:mm") &amp; "h | " &amp; D81 &amp; "km"
)</f>
        <v>- TRATOR: *1BM5080ETS6204305*_x000D_
- A:2,60 x C:4,08 x L:1,45-2,00 x P:5.100kg_x000D_
- *Cliente*: NÃO INFORMADO- NÃO TEM NF_x000D_
- *Obs:* MPA_x000D_
- *De*: MACPONTA AGRO DE TIBAGI_x000D_
- *Para*: https://maps.app.goo.gl/1TQNr4KwZ3aiboXJ6_x000D_
- *Ida e volta*: +/- 7:09h | 286km</v>
      </c>
    </row>
    <row r="82" spans="1:21">
      <c r="A82" s="12" t="s">
        <v>334</v>
      </c>
      <c r="B82" s="10" t="s">
        <v>335</v>
      </c>
      <c r="C82" s="97">
        <f>IFERROR((D82*1.5)/1440, "?")</f>
        <v>0.29791666666666666</v>
      </c>
      <c r="D82" s="10">
        <v>286</v>
      </c>
      <c r="E82" s="98">
        <f>IFERROR((D82*6),"?")</f>
        <v>1716</v>
      </c>
      <c r="F82" s="99"/>
      <c r="G82" s="10" t="s">
        <v>262</v>
      </c>
      <c r="H82" s="100">
        <v>45987</v>
      </c>
      <c r="I82" s="101"/>
      <c r="J82" s="10" t="s">
        <v>336</v>
      </c>
      <c r="K82" s="10" t="s">
        <v>302</v>
      </c>
      <c r="L82" s="10" t="s">
        <v>72</v>
      </c>
      <c r="M82" s="10" t="s">
        <v>115</v>
      </c>
      <c r="N82" s="12" t="s">
        <v>259</v>
      </c>
      <c r="O82" s="10" t="s">
        <v>117</v>
      </c>
      <c r="P82" s="137" t="s">
        <v>342</v>
      </c>
      <c r="Q82" s="10" t="s">
        <v>343</v>
      </c>
      <c r="R82" s="10" t="s">
        <v>72</v>
      </c>
      <c r="S82" s="10" t="s">
        <v>25</v>
      </c>
      <c r="T82" s="2" t="str">
        <f t="shared" si="1"/>
        <v>5080E</v>
      </c>
      <c r="U82" s="2" t="str" cm="1">
        <f t="array" ref="U82">_xlfn.LET(
  _xlpm.ch, TRIM(SUBSTITUTE(G82,CHAR(160),"")),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IF(L82="CLIENTE", O82, IF(LEFT(L82,4)="http", L82, "MACPONTA AGRO DE "&amp;L82)),
  _xlpm.paraBase, IF(M82="CLIENTE", P82, M82),
  _xlpm.paraTxt, IF(LEFT(_xlpm.paraBase,4)="http", _xlpm.paraBase, "MACPONTA AGRO DE "&amp;_xlpm.paraBase),
  _xlpm.nfParte, IF(LEN(TRIM(I82))=0, "", " -NF "&amp;TRIM(I82)),
  "- " &amp; _xlpm.tipotxt &amp; ": *" &amp; G82 &amp; "*" &amp; CHAR(13)&amp;CHAR(10) &amp;
  "- " &amp; _xlpm.dimtxt &amp; CHAR(13)&amp;CHAR(10) &amp;
  "- *Cliente*: " &amp; J82 &amp; _xlpm.nfParte &amp; CHAR(13)&amp;CHAR(10) &amp;
  "- *Obs:* " &amp; O82 &amp; CHAR(13)&amp;CHAR(10) &amp; CHAR(10) &amp;
  "- *De*: " &amp; _xlpm.deTxt &amp; CHAR(13)&amp;CHAR(10) &amp;
  "- *Para*: " &amp; _xlpm.paraTxt &amp; CHAR(13)&amp;CHAR(10) &amp;
  "- *Ida e volta*: +/- " &amp; TEXT(((D82*1.5)/1440),"h:mm") &amp; "h | " &amp; D82 &amp; "km"
)</f>
        <v>- TRATOR: *1BM5080EVS4204226*_x000D_
- A:2,60 x C:4,08 x L:1,45-2,00 x P:5.100kg_x000D_
- *Cliente*: NÃO INFORMADO- NÃO TEM NF_x000D_
- *Obs:* MPA_x000D_
- *De*: MACPONTA AGRO DE TIBAGI_x000D_
- *Para*: https://maps.app.goo.gl/1TQNr4KwZ3aiboXJ6_x000D_
- *Ida e volta*: +/- 7:09h | 286km</v>
      </c>
    </row>
    <row r="83" spans="1:21">
      <c r="A83" s="12" t="s">
        <v>334</v>
      </c>
      <c r="B83" s="10" t="s">
        <v>335</v>
      </c>
      <c r="C83" s="97">
        <f>IFERROR((D83*1.5)/1440, "?")</f>
        <v>0.29791666666666666</v>
      </c>
      <c r="D83" s="10">
        <v>286</v>
      </c>
      <c r="E83" s="98">
        <v>600</v>
      </c>
      <c r="F83" s="99"/>
      <c r="G83" s="10" t="s">
        <v>339</v>
      </c>
      <c r="H83" s="100">
        <v>45987</v>
      </c>
      <c r="I83" s="101"/>
      <c r="J83" s="10" t="s">
        <v>336</v>
      </c>
      <c r="K83" s="10" t="s">
        <v>302</v>
      </c>
      <c r="L83" s="10" t="s">
        <v>72</v>
      </c>
      <c r="M83" s="10" t="s">
        <v>115</v>
      </c>
      <c r="N83" s="12" t="s">
        <v>259</v>
      </c>
      <c r="O83" s="10" t="s">
        <v>117</v>
      </c>
      <c r="P83" s="137" t="s">
        <v>342</v>
      </c>
      <c r="Q83" s="10" t="s">
        <v>343</v>
      </c>
      <c r="R83" s="10" t="s">
        <v>72</v>
      </c>
      <c r="S83" s="10" t="s">
        <v>23</v>
      </c>
      <c r="T83" s="2" t="str">
        <f t="shared" si="1"/>
        <v>FA25</v>
      </c>
      <c r="U83" s="2" t="str" cm="1">
        <f t="array" ref="U83">_xlfn.LET(
  _xlpm.ch, TRIM(SUBSTITUTE(G83,CHAR(160),"")),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IF(L83="CLIENTE", O83, IF(LEFT(L83,4)="http", L83, "MACPONTA AGRO DE "&amp;L83)),
  _xlpm.paraBase, IF(M83="CLIENTE", P83, M83),
  _xlpm.paraTxt, IF(LEFT(_xlpm.paraBase,4)="http", _xlpm.paraBase, "MACPONTA AGRO DE "&amp;_xlpm.paraBase),
  _xlpm.nfParte, IF(LEN(TRIM(I83))=0, "", " -NF "&amp;TRIM(I83)),
  "- " &amp; _xlpm.tipotxt &amp; ": *" &amp; G83 &amp; "*" &amp; CHAR(13)&amp;CHAR(10) &amp;
  "- " &amp; _xlpm.dimtxt &amp; CHAR(13)&amp;CHAR(10) &amp;
  "- *Cliente*: " &amp; J83 &amp; _xlpm.nfParte &amp; CHAR(13)&amp;CHAR(10) &amp;
  "- *Obs:* " &amp; O83 &amp; CHAR(13)&amp;CHAR(10) &amp; CHAR(10) &amp;
  "- *De*: " &amp; _xlpm.deTxt &amp; CHAR(13)&amp;CHAR(10) &amp;
  "- *Para*: " &amp; _xlpm.paraTxt &amp; CHAR(13)&amp;CHAR(10) &amp;
  "- *Ida e volta*: +/- " &amp; TEXT(((D83*1.5)/1440),"h:mm") &amp; "h | " &amp; D83 &amp; "km"
)</f>
        <v>- PLATAFORMA: *1CQFA25ALS0160148*_x000D_
- A:1,60 x C:7,60 x L:1,80-1,80 x P:2.100kg_x000D_
- *Cliente*: NÃO INFORMADO- NÃO TEM NF_x000D_
- *Obs:* MPA_x000D_
- *De*: MACPONTA AGRO DE TIBAGI_x000D_
- *Para*: https://maps.app.goo.gl/1TQNr4KwZ3aiboXJ6_x000D_
- *Ida e volta*: +/- 7:09h | 286km</v>
      </c>
    </row>
    <row r="84" spans="1:21">
      <c r="A84" s="12" t="s">
        <v>334</v>
      </c>
      <c r="B84" s="10" t="s">
        <v>335</v>
      </c>
      <c r="C84" s="97">
        <f>IFERROR((D84*1.5)/1440, "?")</f>
        <v>0.29791666666666666</v>
      </c>
      <c r="D84" s="10">
        <v>286</v>
      </c>
      <c r="E84" s="98">
        <v>1400</v>
      </c>
      <c r="F84" s="99"/>
      <c r="G84" s="10" t="s">
        <v>340</v>
      </c>
      <c r="H84" s="100">
        <v>45987</v>
      </c>
      <c r="I84" s="101"/>
      <c r="J84" s="10" t="s">
        <v>336</v>
      </c>
      <c r="K84" s="10" t="s">
        <v>302</v>
      </c>
      <c r="L84" s="10" t="s">
        <v>72</v>
      </c>
      <c r="M84" s="10" t="s">
        <v>115</v>
      </c>
      <c r="N84" s="12" t="s">
        <v>259</v>
      </c>
      <c r="O84" s="10" t="s">
        <v>117</v>
      </c>
      <c r="P84" s="137" t="s">
        <v>342</v>
      </c>
      <c r="Q84" s="10" t="s">
        <v>343</v>
      </c>
      <c r="R84" s="10" t="s">
        <v>72</v>
      </c>
      <c r="S84" s="10" t="s">
        <v>21</v>
      </c>
      <c r="T84" s="2" t="str">
        <f t="shared" si="1"/>
        <v>S440</v>
      </c>
      <c r="U84" s="2" t="str" cm="1">
        <f t="array" ref="U84">_xlfn.LET(
  _xlpm.ch, TRIM(SUBSTITUTE(G84,CHAR(160),"")),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IF(L84="CLIENTE", O84, IF(LEFT(L84,4)="http", L84, "MACPONTA AGRO DE "&amp;L84)),
  _xlpm.paraBase, IF(M84="CLIENTE", P84, M84),
  _xlpm.paraTxt, IF(LEFT(_xlpm.paraBase,4)="http", _xlpm.paraBase, "MACPONTA AGRO DE "&amp;_xlpm.paraBase),
  _xlpm.nfParte, IF(LEN(TRIM(I84))=0, "", " -NF "&amp;TRIM(I84)),
  "- " &amp; _xlpm.tipotxt &amp; ": *" &amp; G84 &amp; "*" &amp; CHAR(13)&amp;CHAR(10) &amp;
  "- " &amp; _xlpm.dimtxt &amp; CHAR(13)&amp;CHAR(10) &amp;
  "- *Cliente*: " &amp; J84 &amp; _xlpm.nfParte &amp; CHAR(13)&amp;CHAR(10) &amp;
  "- *Obs:* " &amp; O84 &amp; CHAR(13)&amp;CHAR(10) &amp; CHAR(10) &amp;
  "- *De*: " &amp; _xlpm.deTxt &amp; CHAR(13)&amp;CHAR(10) &amp;
  "- *Para*: " &amp; _xlpm.paraTxt &amp; CHAR(13)&amp;CHAR(10) &amp;
  "- *Ida e volta*: +/- " &amp; TEXT(((D84*1.5)/1440),"h:mm") &amp; "h | " &amp; D84 &amp; "km"
)</f>
        <v>- COLHEITADEIRA: *1CQS440AVS0155148*_x000D_
- A:4,10 x C:7,70 x L:3,40-4,10 x P:11.800kg_x000D_
- *Cliente*: NÃO INFORMADO- NÃO TEM NF_x000D_
- *Obs:* MPA_x000D_
- *De*: MACPONTA AGRO DE TIBAGI_x000D_
- *Para*: https://maps.app.goo.gl/1TQNr4KwZ3aiboXJ6_x000D_
- *Ida e volta*: +/- 7:09h | 286km</v>
      </c>
    </row>
    <row r="85" spans="1:21" ht="15" customHeight="1">
      <c r="A85" s="12" t="s">
        <v>334</v>
      </c>
      <c r="B85" s="10" t="s">
        <v>335</v>
      </c>
      <c r="C85" s="97">
        <f>IFERROR((D85*1.5)/1440, "?")</f>
        <v>8.5416666666666669E-2</v>
      </c>
      <c r="D85" s="10">
        <v>82</v>
      </c>
      <c r="E85" s="98">
        <f>IFERROR((D85*6),"?")</f>
        <v>492</v>
      </c>
      <c r="F85" s="99"/>
      <c r="G85" s="10" t="s">
        <v>311</v>
      </c>
      <c r="H85" s="100">
        <v>45987</v>
      </c>
      <c r="I85" s="101"/>
      <c r="J85" s="170" t="s">
        <v>344</v>
      </c>
      <c r="K85" s="10" t="s">
        <v>153</v>
      </c>
      <c r="L85" s="10" t="s">
        <v>115</v>
      </c>
      <c r="M85" s="10" t="s">
        <v>148</v>
      </c>
      <c r="N85" s="12" t="s">
        <v>259</v>
      </c>
      <c r="O85" s="10" t="s">
        <v>313</v>
      </c>
      <c r="P85" s="12" t="s">
        <v>117</v>
      </c>
      <c r="Q85" s="10"/>
      <c r="R85" s="10" t="s">
        <v>148</v>
      </c>
      <c r="S85" s="10" t="s">
        <v>25</v>
      </c>
      <c r="T85" s="2" t="str">
        <f t="shared" si="1"/>
        <v>5080E</v>
      </c>
      <c r="U85" s="2" t="str" cm="1">
        <f t="array" ref="U85">_xlfn.LET(
  _xlpm.ch, TRIM(SUBSTITUTE(G85,CHAR(160),"")),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IF(L85="CLIENTE", O85, IF(LEFT(L85,4)="http", L85, "MACPONTA AGRO DE "&amp;L85)),
  _xlpm.paraBase, IF(M85="CLIENTE", P85, M85),
  _xlpm.paraTxt, IF(LEFT(_xlpm.paraBase,4)="http", _xlpm.paraBase, "MACPONTA AGRO DE "&amp;_xlpm.paraBase),
  _xlpm.nfParte, IF(LEN(TRIM(I85))=0, "", " -NF "&amp;TRIM(I85)),
  "- " &amp; _xlpm.tipotxt &amp; ": *" &amp; G85 &amp; "*" &amp; CHAR(13)&amp;CHAR(10) &amp;
  "- " &amp; _xlpm.dimtxt &amp; CHAR(13)&amp;CHAR(10) &amp;
  "- *Cliente*: " &amp; J85 &amp; _xlpm.nfParte &amp; CHAR(13)&amp;CHAR(10) &amp;
  "- *Obs:* " &amp; O85 &amp; CHAR(13)&amp;CHAR(10) &amp; CHAR(10) &amp;
  "- *De*: " &amp; _xlpm.deTxt &amp; CHAR(13)&amp;CHAR(10) &amp;
  "- *Para*: " &amp; _xlpm.paraTxt &amp; CHAR(13)&amp;CHAR(10) &amp;
  "- *Ida e volta*: +/- " &amp; TEXT(((D85*1.5)/1440),"h:mm") &amp; "h | " &amp; D85 &amp; "km"
)</f>
        <v>- TRATOR: *1BM5080EPS6204421*_x000D_
- A:2,60 x C:4,08 x L:1,45-2,00 x P:5.100kg_x000D_
- *Cliente*: COLONIA ADELAIDE- NF ? VOLTA_x000D_
- *Obs:* https://maps.app.goo.gl/BxL47zGps2wAbAig9_x000D_
- *De*: https://maps.app.goo.gl/BxL47zGps2wAbAig9_x000D_
- *Para*: MACPONTA AGRO DE PONTA GROSSA_x000D_
- *Ida e volta*: +/- 2:03h | 82km</v>
      </c>
    </row>
    <row r="86" spans="1:21" ht="15" customHeight="1">
      <c r="A86" s="12" t="s">
        <v>334</v>
      </c>
      <c r="B86" s="10" t="s">
        <v>335</v>
      </c>
      <c r="C86" s="97">
        <f>IFERROR((D86*1.5)/1440, "?")</f>
        <v>9.375E-2</v>
      </c>
      <c r="D86" s="10">
        <v>90</v>
      </c>
      <c r="E86" s="98">
        <f>IFERROR((D86*6),"?")</f>
        <v>540</v>
      </c>
      <c r="F86" s="99"/>
      <c r="G86" s="10" t="s">
        <v>314</v>
      </c>
      <c r="H86" s="100">
        <v>45987</v>
      </c>
      <c r="I86" s="101"/>
      <c r="J86" s="170" t="s">
        <v>345</v>
      </c>
      <c r="K86" s="10" t="s">
        <v>153</v>
      </c>
      <c r="L86" s="10" t="s">
        <v>115</v>
      </c>
      <c r="M86" s="10" t="s">
        <v>148</v>
      </c>
      <c r="N86" s="12" t="s">
        <v>259</v>
      </c>
      <c r="O86" s="10" t="s">
        <v>332</v>
      </c>
      <c r="P86" s="102" t="s">
        <v>117</v>
      </c>
      <c r="Q86" s="10" t="s">
        <v>333</v>
      </c>
      <c r="R86" s="10" t="s">
        <v>148</v>
      </c>
      <c r="S86" s="10" t="s">
        <v>25</v>
      </c>
      <c r="T86" s="2" t="str">
        <f t="shared" si="1"/>
        <v>5060E</v>
      </c>
      <c r="U86" s="2" t="str" cm="1">
        <f t="array" ref="U86">_xlfn.LET(
  _xlpm.ch, TRIM(SUBSTITUTE(G86,CHAR(160),"")),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IF(L86="CLIENTE", O86, IF(LEFT(L86,4)="http", L86, "MACPONTA AGRO DE "&amp;L86)),
  _xlpm.paraBase, IF(M86="CLIENTE", P86, M86),
  _xlpm.paraTxt, IF(LEFT(_xlpm.paraBase,4)="http", _xlpm.paraBase, "MACPONTA AGRO DE "&amp;_xlpm.paraBase),
  _xlpm.nfParte, IF(LEN(TRIM(I86))=0, "", " -NF "&amp;TRIM(I86)),
  "- " &amp; _xlpm.tipotxt &amp; ": *" &amp; G86 &amp; "*" &amp; CHAR(13)&amp;CHAR(10) &amp;
  "- " &amp; _xlpm.dimtxt &amp; CHAR(13)&amp;CHAR(10) &amp;
  "- *Cliente*: " &amp; J86 &amp; _xlpm.nfParte &amp; CHAR(13)&amp;CHAR(10) &amp;
  "- *Obs:* " &amp; O86 &amp; CHAR(13)&amp;CHAR(10) &amp; CHAR(10) &amp;
  "- *De*: " &amp; _xlpm.deTxt &amp; CHAR(13)&amp;CHAR(10) &amp;
  "- *Para*: " &amp; _xlpm.paraTxt &amp; CHAR(13)&amp;CHAR(10) &amp;
  "- *Ida e volta*: +/- " &amp; TEXT(((D86*1.5)/1440),"h:mm") &amp; "h | " &amp; D86 &amp; "km"
)</f>
        <v>- TRATOR: *1BM5060EES4201644*_x000D_
- A:2,60 x C:4,08 x L:1,45-2,00 x P:5.100kg_x000D_
- *Cliente*: Conexão JD -NF? VOLTA_x000D_
- *Obs:* https://maps.app.goo.gl/3soe1M5yfNku9zP88_x000D_
- *De*: https://maps.app.goo.gl/3soe1M5yfNku9zP88_x000D_
- *Para*: MACPONTA AGRO DE PONTA GROSSA_x000D_
- *Ida e volta*: +/- 2:15h | 90km</v>
      </c>
    </row>
    <row r="87" spans="1:21" ht="15" customHeight="1">
      <c r="A87" s="12" t="s">
        <v>334</v>
      </c>
      <c r="B87" s="10" t="s">
        <v>335</v>
      </c>
      <c r="C87" s="97">
        <f>IFERROR((D87*1.5)/1440, "?")</f>
        <v>9.375E-2</v>
      </c>
      <c r="D87" s="10">
        <v>90</v>
      </c>
      <c r="E87" s="98">
        <f>IFERROR((D87*6),"?")</f>
        <v>540</v>
      </c>
      <c r="F87" s="99"/>
      <c r="G87" s="10" t="s">
        <v>318</v>
      </c>
      <c r="H87" s="100">
        <v>45987</v>
      </c>
      <c r="I87" s="101"/>
      <c r="J87" s="170" t="s">
        <v>345</v>
      </c>
      <c r="K87" s="10" t="s">
        <v>153</v>
      </c>
      <c r="L87" s="10" t="s">
        <v>115</v>
      </c>
      <c r="M87" s="10" t="s">
        <v>148</v>
      </c>
      <c r="N87" s="12" t="s">
        <v>259</v>
      </c>
      <c r="O87" s="10" t="s">
        <v>332</v>
      </c>
      <c r="P87" s="102" t="s">
        <v>117</v>
      </c>
      <c r="Q87" s="10" t="s">
        <v>333</v>
      </c>
      <c r="R87" s="10" t="s">
        <v>148</v>
      </c>
      <c r="S87" s="10" t="s">
        <v>25</v>
      </c>
      <c r="T87" s="2" t="str">
        <f t="shared" si="1"/>
        <v>5080E</v>
      </c>
      <c r="U87" s="2" t="str" cm="1">
        <f t="array" ref="U87">_xlfn.LET(
  _xlpm.ch, TRIM(SUBSTITUTE(G87,CHAR(160),"")),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IF(L87="CLIENTE", O87, IF(LEFT(L87,4)="http", L87, "MACPONTA AGRO DE "&amp;L87)),
  _xlpm.paraBase, IF(M87="CLIENTE", P87, M87),
  _xlpm.paraTxt, IF(LEFT(_xlpm.paraBase,4)="http", _xlpm.paraBase, "MACPONTA AGRO DE "&amp;_xlpm.paraBase),
  _xlpm.nfParte, IF(LEN(TRIM(I87))=0, "", " -NF "&amp;TRIM(I87)),
  "- " &amp; _xlpm.tipotxt &amp; ": *" &amp; G87 &amp; "*" &amp; CHAR(13)&amp;CHAR(10) &amp;
  "- " &amp; _xlpm.dimtxt &amp; CHAR(13)&amp;CHAR(10) &amp;
  "- *Cliente*: " &amp; J87 &amp; _xlpm.nfParte &amp; CHAR(13)&amp;CHAR(10) &amp;
  "- *Obs:* " &amp; O87 &amp; CHAR(13)&amp;CHAR(10) &amp; CHAR(10) &amp;
  "- *De*: " &amp; _xlpm.deTxt &amp; CHAR(13)&amp;CHAR(10) &amp;
  "- *Para*: " &amp; _xlpm.paraTxt &amp; CHAR(13)&amp;CHAR(10) &amp;
  "- *Ida e volta*: +/- " &amp; TEXT(((D87*1.5)/1440),"h:mm") &amp; "h | " &amp; D87 &amp; "km"
)</f>
        <v>- TRATOR: *1BM5080ECS4204234*_x000D_
- A:2,60 x C:4,08 x L:1,45-2,00 x P:5.100kg_x000D_
- *Cliente*: Conexão JD -NF? VOLTA_x000D_
- *Obs:* https://maps.app.goo.gl/3soe1M5yfNku9zP88_x000D_
- *De*: https://maps.app.goo.gl/3soe1M5yfNku9zP88_x000D_
- *Para*: MACPONTA AGRO DE PONTA GROSSA_x000D_
- *Ida e volta*: +/- 2:15h | 90km</v>
      </c>
    </row>
    <row r="88" spans="1:21" ht="15" customHeight="1">
      <c r="A88" s="12" t="s">
        <v>334</v>
      </c>
      <c r="B88" s="10" t="s">
        <v>335</v>
      </c>
      <c r="C88" s="97">
        <f>IFERROR((D88*1.5)/1440, "?")</f>
        <v>9.375E-2</v>
      </c>
      <c r="D88" s="10">
        <v>90</v>
      </c>
      <c r="E88" s="98">
        <f>IFERROR((D88*6),"?")</f>
        <v>540</v>
      </c>
      <c r="F88" s="99"/>
      <c r="G88" s="10" t="s">
        <v>319</v>
      </c>
      <c r="H88" s="100">
        <v>45987</v>
      </c>
      <c r="I88" s="101"/>
      <c r="J88" s="170" t="s">
        <v>345</v>
      </c>
      <c r="K88" s="10" t="s">
        <v>153</v>
      </c>
      <c r="L88" s="10" t="s">
        <v>115</v>
      </c>
      <c r="M88" s="10" t="s">
        <v>148</v>
      </c>
      <c r="N88" s="12" t="s">
        <v>259</v>
      </c>
      <c r="O88" s="10" t="s">
        <v>332</v>
      </c>
      <c r="P88" s="102" t="s">
        <v>117</v>
      </c>
      <c r="Q88" s="10" t="s">
        <v>333</v>
      </c>
      <c r="R88" s="10" t="s">
        <v>148</v>
      </c>
      <c r="S88" s="10" t="s">
        <v>25</v>
      </c>
      <c r="T88" s="2" t="str">
        <f t="shared" si="1"/>
        <v>5080E</v>
      </c>
      <c r="U88" s="2" t="str" cm="1">
        <f t="array" ref="U88">_xlfn.LET(
  _xlpm.ch, TRIM(SUBSTITUTE(G88,CHAR(160),"")),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IF(L88="CLIENTE", O88, IF(LEFT(L88,4)="http", L88, "MACPONTA AGRO DE "&amp;L88)),
  _xlpm.paraBase, IF(M88="CLIENTE", P88, M88),
  _xlpm.paraTxt, IF(LEFT(_xlpm.paraBase,4)="http", _xlpm.paraBase, "MACPONTA AGRO DE "&amp;_xlpm.paraBase),
  _xlpm.nfParte, IF(LEN(TRIM(I88))=0, "", " -NF "&amp;TRIM(I88)),
  "- " &amp; _xlpm.tipotxt &amp; ": *" &amp; G88 &amp; "*" &amp; CHAR(13)&amp;CHAR(10) &amp;
  "- " &amp; _xlpm.dimtxt &amp; CHAR(13)&amp;CHAR(10) &amp;
  "- *Cliente*: " &amp; J88 &amp; _xlpm.nfParte &amp; CHAR(13)&amp;CHAR(10) &amp;
  "- *Obs:* " &amp; O88 &amp; CHAR(13)&amp;CHAR(10) &amp; CHAR(10) &amp;
  "- *De*: " &amp; _xlpm.deTxt &amp; CHAR(13)&amp;CHAR(10) &amp;
  "- *Para*: " &amp; _xlpm.paraTxt &amp; CHAR(13)&amp;CHAR(10) &amp;
  "- *Ida e volta*: +/- " &amp; TEXT(((D88*1.5)/1440),"h:mm") &amp; "h | " &amp; D88 &amp; "km"
)</f>
        <v>- TRATOR: *1BM5080ELS4204066*_x000D_
- A:2,60 x C:4,08 x L:1,45-2,00 x P:5.100kg_x000D_
- *Cliente*: Conexão JD -NF? VOLTA_x000D_
- *Obs:* https://maps.app.goo.gl/3soe1M5yfNku9zP88_x000D_
- *De*: https://maps.app.goo.gl/3soe1M5yfNku9zP88_x000D_
- *Para*: MACPONTA AGRO DE PONTA GROSSA_x000D_
- *Ida e volta*: +/- 2:15h | 90km</v>
      </c>
    </row>
    <row r="89" spans="1:21" ht="15" customHeight="1">
      <c r="A89" s="12" t="s">
        <v>334</v>
      </c>
      <c r="B89" s="10" t="s">
        <v>335</v>
      </c>
      <c r="C89" s="97">
        <f>IFERROR((D89*1.5)/1440, "?")</f>
        <v>0.15625</v>
      </c>
      <c r="D89" s="10">
        <v>150</v>
      </c>
      <c r="E89" s="98">
        <v>200</v>
      </c>
      <c r="F89" s="99"/>
      <c r="G89" s="10" t="s">
        <v>178</v>
      </c>
      <c r="H89" s="100">
        <v>45988</v>
      </c>
      <c r="I89" s="101"/>
      <c r="J89" s="139" t="s">
        <v>346</v>
      </c>
      <c r="K89" s="10" t="s">
        <v>153</v>
      </c>
      <c r="L89" s="10" t="s">
        <v>115</v>
      </c>
      <c r="M89" s="10" t="s">
        <v>148</v>
      </c>
      <c r="N89" s="12" t="s">
        <v>125</v>
      </c>
      <c r="O89" s="10" t="s">
        <v>180</v>
      </c>
      <c r="P89" s="138" t="s">
        <v>117</v>
      </c>
      <c r="Q89" s="10" t="s">
        <v>181</v>
      </c>
      <c r="R89" s="10" t="s">
        <v>148</v>
      </c>
      <c r="S89" s="10" t="s">
        <v>23</v>
      </c>
      <c r="T89" s="2" t="str">
        <f t="shared" si="1"/>
        <v>0630</v>
      </c>
      <c r="U89" s="2" t="str" cm="1">
        <f t="array" ref="U89">_xlfn.LET(
  _xlpm.ch, TRIM(SUBSTITUTE(G89,CHAR(160),"")),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IF(L89="CLIENTE", O89, IF(LEFT(L89,4)="http", L89, "MACPONTA AGRO DE "&amp;L89)),
  _xlpm.paraBase, IF(M89="CLIENTE", P89, M89),
  _xlpm.paraTxt, IF(LEFT(_xlpm.paraBase,4)="http", _xlpm.paraBase, "MACPONTA AGRO DE "&amp;_xlpm.paraBase),
  _xlpm.nfParte, IF(LEN(TRIM(I89))=0, "", " -NF "&amp;TRIM(I89)),
  "- " &amp; _xlpm.tipotxt &amp; ": *" &amp; G89 &amp; "*" &amp; CHAR(13)&amp;CHAR(10) &amp;
  "- " &amp; _xlpm.dimtxt &amp; CHAR(13)&amp;CHAR(10) &amp;
  "- *Cliente*: " &amp; J89 &amp; _xlpm.nfParte &amp; CHAR(13)&amp;CHAR(10) &amp;
  "- *Obs:* " &amp; O89 &amp; CHAR(13)&amp;CHAR(10) &amp; CHAR(10) &amp;
  "- *De*: " &amp; _xlpm.deTxt &amp; CHAR(13)&amp;CHAR(10) &amp;
  "- *Para*: " &amp; _xlpm.paraTxt &amp; CHAR(13)&amp;CHAR(10) &amp;
  "- *Ida e volta*: +/- " &amp; TEXT(((D89*1.5)/1440),"h:mm") &amp; "h | " &amp; D89 &amp; "km"
)</f>
        <v>- NÃO ENCONTRADO: *1CQ0630AHR0155127*_x000D_
- _x000D_
- *Cliente*: MARCELO RIBEIRO NARDI -NF278794  VOLTA_x000D_
- *Obs:* https://maps.app.goo.gl/2DJawZBMR4yqycss9_x000D_
- *De*: https://maps.app.goo.gl/2DJawZBMR4yqycss9_x000D_
- *Para*: MACPONTA AGRO DE PONTA GROSSA_x000D_
- *Ida e volta*: +/- 3:45h | 150km</v>
      </c>
    </row>
    <row r="90" spans="1:21" ht="15" customHeight="1">
      <c r="A90" s="12" t="s">
        <v>334</v>
      </c>
      <c r="B90" s="10" t="s">
        <v>335</v>
      </c>
      <c r="C90" s="97">
        <f>IFERROR((D90*1.5)/1440, "?")</f>
        <v>0.15625</v>
      </c>
      <c r="D90" s="10">
        <v>150</v>
      </c>
      <c r="E90" s="98">
        <v>800</v>
      </c>
      <c r="F90" s="99"/>
      <c r="G90" s="10" t="s">
        <v>182</v>
      </c>
      <c r="H90" s="100">
        <v>45988</v>
      </c>
      <c r="I90" s="101"/>
      <c r="J90" s="139" t="s">
        <v>346</v>
      </c>
      <c r="K90" s="10" t="s">
        <v>153</v>
      </c>
      <c r="L90" s="10" t="s">
        <v>115</v>
      </c>
      <c r="M90" s="10" t="s">
        <v>148</v>
      </c>
      <c r="N90" s="12" t="s">
        <v>125</v>
      </c>
      <c r="O90" s="10" t="s">
        <v>180</v>
      </c>
      <c r="P90" s="138" t="s">
        <v>117</v>
      </c>
      <c r="Q90" s="10" t="s">
        <v>181</v>
      </c>
      <c r="R90" s="10" t="s">
        <v>148</v>
      </c>
      <c r="S90" s="10" t="s">
        <v>21</v>
      </c>
      <c r="T90" s="2" t="str">
        <f t="shared" si="1"/>
        <v>S550</v>
      </c>
      <c r="U90" s="2" t="str" cm="1">
        <f t="array" ref="U90">_xlfn.LET(
  _xlpm.ch, TRIM(SUBSTITUTE(G90,CHAR(160),"")),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IF(L90="CLIENTE", O90, IF(LEFT(L90,4)="http", L90, "MACPONTA AGRO DE "&amp;L90)),
  _xlpm.paraBase, IF(M90="CLIENTE", P90, M90),
  _xlpm.paraTxt, IF(LEFT(_xlpm.paraBase,4)="http", _xlpm.paraBase, "MACPONTA AGRO DE "&amp;_xlpm.paraBase),
  _xlpm.nfParte, IF(LEN(TRIM(I90))=0, "", " -NF "&amp;TRIM(I90)),
  "- " &amp; _xlpm.tipotxt &amp; ": *" &amp; G90 &amp; "*" &amp; CHAR(13)&amp;CHAR(10) &amp;
  "- " &amp; _xlpm.dimtxt &amp; CHAR(13)&amp;CHAR(10) &amp;
  "- *Cliente*: " &amp; J90 &amp; _xlpm.nfParte &amp; CHAR(13)&amp;CHAR(10) &amp;
  "- *Obs:* " &amp; O90 &amp; CHAR(13)&amp;CHAR(10) &amp; CHAR(10) &amp;
  "- *De*: " &amp; _xlpm.deTxt &amp; CHAR(13)&amp;CHAR(10) &amp;
  "- *Para*: " &amp; _xlpm.paraTxt &amp; CHAR(13)&amp;CHAR(10) &amp;
  "- *Ida e volta*: +/- " &amp; TEXT(((D90*1.5)/1440),"h:mm") &amp; "h | " &amp; D90 &amp; "km"
)</f>
        <v>- COLHEITADEIRA: *1CQS550AER0155105*_x000D_
- A:3,80 x C:10,00 x L:3,70-4,20 x P:15.938kg_x000D_
- *Cliente*: MARCELO RIBEIRO NARDI -NF278794  VOLTA_x000D_
- *Obs:* https://maps.app.goo.gl/2DJawZBMR4yqycss9_x000D_
- *De*: https://maps.app.goo.gl/2DJawZBMR4yqycss9_x000D_
- *Para*: MACPONTA AGRO DE PONTA GROSSA_x000D_
- *Ida e volta*: +/- 3:45h | 150km</v>
      </c>
    </row>
    <row r="91" spans="1:21" ht="15" customHeight="1">
      <c r="A91" s="12" t="s">
        <v>334</v>
      </c>
      <c r="B91" s="10" t="s">
        <v>335</v>
      </c>
      <c r="C91" s="97">
        <f>IFERROR((D91*1.5)/1440, "?")</f>
        <v>0.29791666666666666</v>
      </c>
      <c r="D91" s="10">
        <v>286</v>
      </c>
      <c r="E91" s="98">
        <f>IFERROR((D91*6),"?")</f>
        <v>1716</v>
      </c>
      <c r="F91" s="99"/>
      <c r="G91" s="10" t="s">
        <v>257</v>
      </c>
      <c r="H91" s="100">
        <v>45988</v>
      </c>
      <c r="I91" s="101"/>
      <c r="J91" s="170" t="s">
        <v>345</v>
      </c>
      <c r="K91" s="10" t="s">
        <v>302</v>
      </c>
      <c r="L91" s="10" t="s">
        <v>115</v>
      </c>
      <c r="M91" s="10" t="s">
        <v>49</v>
      </c>
      <c r="N91" s="12" t="s">
        <v>259</v>
      </c>
      <c r="O91" s="10" t="s">
        <v>342</v>
      </c>
      <c r="P91" s="102" t="s">
        <v>117</v>
      </c>
      <c r="Q91" s="10" t="s">
        <v>343</v>
      </c>
      <c r="R91" s="10" t="s">
        <v>49</v>
      </c>
      <c r="S91" s="10" t="s">
        <v>25</v>
      </c>
      <c r="T91" s="2" t="str">
        <f t="shared" ref="T91" si="2">IF(
  OR(
    IFERROR(FIND("BM",G91),0)&gt;0,
    IFERROR(FIND("PY",G91),0)&gt;0
  ),
  MID(TRIM(SUBSTITUTE(SUBSTITUTE(G91,CHAR(160),""),CHAR(9),"")),4,5),
  MID(TRIM(SUBSTITUTE(SUBSTITUTE(G91,CHAR(160),""),CHAR(9),"")),4,4)
)</f>
        <v>5080E</v>
      </c>
      <c r="U91" s="2" t="str" cm="1">
        <f t="array" ref="U91">_xlfn.LET(
  _xlpm.ch, TRIM(SUBSTITUTE(G91,CHAR(160),"")),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IF(L91="CLIENTE", O91, IF(LEFT(L91,4)="http", L91, "MACPONTA AGRO DE "&amp;L91)),
  _xlpm.paraBase, IF(M91="CLIENTE", P91, M91),
  _xlpm.paraTxt, IF(LEFT(_xlpm.paraBase,4)="http", _xlpm.paraBase, "MACPONTA AGRO DE "&amp;_xlpm.paraBase),
  _xlpm.nfParte, IF(LEN(TRIM(I91))=0, "", " -NF "&amp;TRIM(I91)),
  "- " &amp; _xlpm.tipotxt &amp; ": *" &amp; G91 &amp; "*" &amp; CHAR(13)&amp;CHAR(10) &amp;
  "- " &amp; _xlpm.dimtxt &amp; CHAR(13)&amp;CHAR(10) &amp;
  "- *Cliente*: " &amp; J91 &amp; _xlpm.nfParte &amp; CHAR(13)&amp;CHAR(10) &amp;
  "- *Obs:* " &amp; O91 &amp; CHAR(13)&amp;CHAR(10) &amp; CHAR(10) &amp;
  "- *De*: " &amp; _xlpm.deTxt &amp; CHAR(13)&amp;CHAR(10) &amp;
  "- *Para*: " &amp; _xlpm.paraTxt &amp; CHAR(13)&amp;CHAR(10) &amp;
  "- *Ida e volta*: +/- " &amp; TEXT(((D91*1.5)/1440),"h:mm") &amp; "h | " &amp; D91 &amp; "km"
)</f>
        <v>- TRATOR: *1BM5080ETS6204305*_x000D_
- A:2,60 x C:4,08 x L:1,45-2,00 x P:5.100kg_x000D_
- *Cliente*: Conexão JD -NF? VOLTA_x000D_
- *Obs:* https://maps.app.goo.gl/1TQNr4KwZ3aiboXJ6_x000D_
- *De*: https://maps.app.goo.gl/1TQNr4KwZ3aiboXJ6_x000D_
- *Para*: MACPONTA AGRO DE ARAPOTI_x000D_
- *Ida e volta*: +/- 7:09h | 286km</v>
      </c>
    </row>
    <row r="92" spans="1:21" ht="15" customHeight="1">
      <c r="A92" s="12" t="s">
        <v>334</v>
      </c>
      <c r="B92" s="10" t="s">
        <v>335</v>
      </c>
      <c r="C92" s="97">
        <f>IFERROR((D92*1.5)/1440, "?")</f>
        <v>0.29791666666666666</v>
      </c>
      <c r="D92" s="10">
        <v>286</v>
      </c>
      <c r="E92" s="98">
        <f>IFERROR((D92*6),"?")</f>
        <v>1716</v>
      </c>
      <c r="F92" s="99"/>
      <c r="G92" s="10" t="s">
        <v>262</v>
      </c>
      <c r="H92" s="100">
        <v>45988</v>
      </c>
      <c r="I92" s="101"/>
      <c r="J92" s="170" t="s">
        <v>345</v>
      </c>
      <c r="K92" s="10" t="s">
        <v>302</v>
      </c>
      <c r="L92" s="10" t="s">
        <v>115</v>
      </c>
      <c r="M92" s="10" t="s">
        <v>49</v>
      </c>
      <c r="N92" s="12" t="s">
        <v>259</v>
      </c>
      <c r="O92" s="10" t="s">
        <v>347</v>
      </c>
      <c r="P92" s="102" t="s">
        <v>117</v>
      </c>
      <c r="Q92" s="10" t="s">
        <v>343</v>
      </c>
      <c r="R92" s="10" t="s">
        <v>49</v>
      </c>
      <c r="S92" s="10" t="s">
        <v>25</v>
      </c>
      <c r="T92" s="2" t="str">
        <f t="shared" ref="T92:T94" si="3">IF(
  OR(
    IFERROR(FIND("BM",G92),0)&gt;0,
    IFERROR(FIND("PY",G92),0)&gt;0
  ),
  MID(TRIM(SUBSTITUTE(SUBSTITUTE(G92,CHAR(160),""),CHAR(9),"")),4,5),
  MID(TRIM(SUBSTITUTE(SUBSTITUTE(G92,CHAR(160),""),CHAR(9),"")),4,4)
)</f>
        <v>5080E</v>
      </c>
      <c r="U92" s="2" t="str" cm="1">
        <f t="array" ref="U92">_xlfn.LET(
  _xlpm.ch, TRIM(SUBSTITUTE(G92,CHAR(160),"")),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IF(L92="CLIENTE", O92, IF(LEFT(L92,4)="http", L92, "MACPONTA AGRO DE "&amp;L92)),
  _xlpm.paraBase, IF(M92="CLIENTE", P92, M92),
  _xlpm.paraTxt, IF(LEFT(_xlpm.paraBase,4)="http", _xlpm.paraBase, "MACPONTA AGRO DE "&amp;_xlpm.paraBase),
  _xlpm.nfParte, IF(LEN(TRIM(I92))=0, "", " -NF "&amp;TRIM(I92)),
  "- " &amp; _xlpm.tipotxt &amp; ": *" &amp; G92 &amp; "*" &amp; CHAR(13)&amp;CHAR(10) &amp;
  "- " &amp; _xlpm.dimtxt &amp; CHAR(13)&amp;CHAR(10) &amp;
  "- *Cliente*: " &amp; J92 &amp; _xlpm.nfParte &amp; CHAR(13)&amp;CHAR(10) &amp;
  "- *Obs:* " &amp; O92 &amp; CHAR(13)&amp;CHAR(10) &amp; CHAR(10) &amp;
  "- *De*: " &amp; _xlpm.deTxt &amp; CHAR(13)&amp;CHAR(10) &amp;
  "- *Para*: " &amp; _xlpm.paraTxt &amp; CHAR(13)&amp;CHAR(10) &amp;
  "- *Ida e volta*: +/- " &amp; TEXT(((D92*1.5)/1440),"h:mm") &amp; "h | " &amp; D92 &amp; "km"
)</f>
        <v>- TRATOR: *1BM5080EVS4204226*_x000D_
- A:2,60 x C:4,08 x L:1,45-2,00 x P:5.100kg_x000D_
- *Cliente*: Conexão JD -NF? VOLTA_x000D_
- *Obs:* https://maps.app.goo.gl/1TQNr4KwZ3aiboXJ7_x000D_
- *De*: https://maps.app.goo.gl/1TQNr4KwZ3aiboXJ7_x000D_
- *Para*: MACPONTA AGRO DE ARAPOTI_x000D_
- *Ida e volta*: +/- 7:09h | 286km</v>
      </c>
    </row>
    <row r="93" spans="1:21" ht="15" customHeight="1">
      <c r="A93" s="12" t="s">
        <v>334</v>
      </c>
      <c r="B93" s="10" t="s">
        <v>335</v>
      </c>
      <c r="C93" s="97">
        <f>IFERROR((D93*1.5)/1440, "?")</f>
        <v>0.29791666666666666</v>
      </c>
      <c r="D93" s="10">
        <v>286</v>
      </c>
      <c r="E93" s="98">
        <v>600</v>
      </c>
      <c r="F93" s="99"/>
      <c r="G93" s="10" t="s">
        <v>339</v>
      </c>
      <c r="H93" s="100">
        <v>45988</v>
      </c>
      <c r="I93" s="101"/>
      <c r="J93" s="170" t="s">
        <v>345</v>
      </c>
      <c r="K93" s="10" t="s">
        <v>302</v>
      </c>
      <c r="L93" s="10" t="s">
        <v>115</v>
      </c>
      <c r="M93" s="10" t="s">
        <v>148</v>
      </c>
      <c r="N93" s="12" t="s">
        <v>259</v>
      </c>
      <c r="O93" s="10" t="s">
        <v>348</v>
      </c>
      <c r="P93" s="102" t="s">
        <v>117</v>
      </c>
      <c r="Q93" s="10" t="s">
        <v>343</v>
      </c>
      <c r="R93" s="10" t="s">
        <v>148</v>
      </c>
      <c r="S93" s="10" t="s">
        <v>23</v>
      </c>
      <c r="T93" s="2" t="str">
        <f t="shared" si="3"/>
        <v>FA25</v>
      </c>
      <c r="U93" s="2" t="str" cm="1">
        <f t="array" ref="U93">_xlfn.LET(
  _xlpm.ch, TRIM(SUBSTITUTE(G93,CHAR(160),"")),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IF(L93="CLIENTE", O93, IF(LEFT(L93,4)="http", L93, "MACPONTA AGRO DE "&amp;L93)),
  _xlpm.paraBase, IF(M93="CLIENTE", P93, M93),
  _xlpm.paraTxt, IF(LEFT(_xlpm.paraBase,4)="http", _xlpm.paraBase, "MACPONTA AGRO DE "&amp;_xlpm.paraBase),
  _xlpm.nfParte, IF(LEN(TRIM(I93))=0, "", " -NF "&amp;TRIM(I93)),
  "- " &amp; _xlpm.tipotxt &amp; ": *" &amp; G93 &amp; "*" &amp; CHAR(13)&amp;CHAR(10) &amp;
  "- " &amp; _xlpm.dimtxt &amp; CHAR(13)&amp;CHAR(10) &amp;
  "- *Cliente*: " &amp; J93 &amp; _xlpm.nfParte &amp; CHAR(13)&amp;CHAR(10) &amp;
  "- *Obs:* " &amp; O93 &amp; CHAR(13)&amp;CHAR(10) &amp; CHAR(10) &amp;
  "- *De*: " &amp; _xlpm.deTxt &amp; CHAR(13)&amp;CHAR(10) &amp;
  "- *Para*: " &amp; _xlpm.paraTxt &amp; CHAR(13)&amp;CHAR(10) &amp;
  "- *Ida e volta*: +/- " &amp; TEXT(((D93*1.5)/1440),"h:mm") &amp; "h | " &amp; D93 &amp; "km"
)</f>
        <v>- PLATAFORMA: *1CQFA25ALS0160148*_x000D_
- A:1,60 x C:7,60 x L:1,80-1,80 x P:2.100kg_x000D_
- *Cliente*: Conexão JD -NF? VOLTA_x000D_
- *Obs:* https://maps.app.goo.gl/1TQNr4KwZ3aiboXJ8_x000D_
- *De*: https://maps.app.goo.gl/1TQNr4KwZ3aiboXJ8_x000D_
- *Para*: MACPONTA AGRO DE PONTA GROSSA_x000D_
- *Ida e volta*: +/- 7:09h | 286km</v>
      </c>
    </row>
    <row r="94" spans="1:21" ht="15" customHeight="1">
      <c r="A94" s="12" t="s">
        <v>334</v>
      </c>
      <c r="B94" s="10" t="s">
        <v>335</v>
      </c>
      <c r="C94" s="97">
        <f>IFERROR((D94*1.5)/1440, "?")</f>
        <v>0.29791666666666666</v>
      </c>
      <c r="D94" s="10">
        <v>286</v>
      </c>
      <c r="E94" s="98">
        <v>1400</v>
      </c>
      <c r="F94" s="99"/>
      <c r="G94" s="10" t="s">
        <v>340</v>
      </c>
      <c r="H94" s="100">
        <v>45988</v>
      </c>
      <c r="I94" s="101"/>
      <c r="J94" s="170" t="s">
        <v>345</v>
      </c>
      <c r="K94" s="10" t="s">
        <v>302</v>
      </c>
      <c r="L94" s="10" t="s">
        <v>115</v>
      </c>
      <c r="M94" s="10" t="s">
        <v>148</v>
      </c>
      <c r="N94" s="12" t="s">
        <v>259</v>
      </c>
      <c r="O94" s="10" t="s">
        <v>349</v>
      </c>
      <c r="P94" s="102" t="s">
        <v>117</v>
      </c>
      <c r="Q94" s="10" t="s">
        <v>343</v>
      </c>
      <c r="R94" s="10" t="s">
        <v>148</v>
      </c>
      <c r="S94" s="10" t="s">
        <v>21</v>
      </c>
      <c r="T94" s="2" t="str">
        <f t="shared" si="3"/>
        <v>S440</v>
      </c>
      <c r="U94" s="2" t="str" cm="1">
        <f t="array" ref="U94">_xlfn.LET(
  _xlpm.ch, TRIM(SUBSTITUTE(G94,CHAR(160),"")),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IF(L94="CLIENTE", O94, IF(LEFT(L94,4)="http", L94, "MACPONTA AGRO DE "&amp;L94)),
  _xlpm.paraBase, IF(M94="CLIENTE", P94, M94),
  _xlpm.paraTxt, IF(LEFT(_xlpm.paraBase,4)="http", _xlpm.paraBase, "MACPONTA AGRO DE "&amp;_xlpm.paraBase),
  _xlpm.nfParte, IF(LEN(TRIM(I94))=0, "", " -NF "&amp;TRIM(I94)),
  "- " &amp; _xlpm.tipotxt &amp; ": *" &amp; G94 &amp; "*" &amp; CHAR(13)&amp;CHAR(10) &amp;
  "- " &amp; _xlpm.dimtxt &amp; CHAR(13)&amp;CHAR(10) &amp;
  "- *Cliente*: " &amp; J94 &amp; _xlpm.nfParte &amp; CHAR(13)&amp;CHAR(10) &amp;
  "- *Obs:* " &amp; O94 &amp; CHAR(13)&amp;CHAR(10) &amp; CHAR(10) &amp;
  "- *De*: " &amp; _xlpm.deTxt &amp; CHAR(13)&amp;CHAR(10) &amp;
  "- *Para*: " &amp; _xlpm.paraTxt &amp; CHAR(13)&amp;CHAR(10) &amp;
  "- *Ida e volta*: +/- " &amp; TEXT(((D94*1.5)/1440),"h:mm") &amp; "h | " &amp; D94 &amp; "km"
)</f>
        <v>- COLHEITADEIRA: *1CQS440AVS0155148*_x000D_
- A:4,10 x C:7,70 x L:3,40-4,10 x P:11.800kg_x000D_
- *Cliente*: Conexão JD -NF? VOLTA_x000D_
- *Obs:* https://maps.app.goo.gl/1TQNr4KwZ3aiboXJ9_x000D_
- *De*: https://maps.app.goo.gl/1TQNr4KwZ3aiboXJ9_x000D_
- *Para*: MACPONTA AGRO DE PONTA GROSSA_x000D_
- *Ida e volta*: +/- 7:09h | 286km</v>
      </c>
    </row>
    <row r="95" spans="1:21" ht="15" customHeight="1">
      <c r="A95" s="12" t="s">
        <v>350</v>
      </c>
      <c r="B95" s="10" t="s">
        <v>335</v>
      </c>
      <c r="C95" s="97">
        <f>IFERROR((D95*1.5)/1440, "?")</f>
        <v>0.16145833333333334</v>
      </c>
      <c r="D95" s="10">
        <v>155</v>
      </c>
      <c r="E95" s="98">
        <f>IFERROR((D95*6),"?")</f>
        <v>930</v>
      </c>
      <c r="F95" s="99"/>
      <c r="G95" s="10" t="s">
        <v>351</v>
      </c>
      <c r="H95" s="100">
        <v>45989</v>
      </c>
      <c r="I95" s="101"/>
      <c r="J95" s="10" t="s">
        <v>352</v>
      </c>
      <c r="K95" s="10" t="s">
        <v>174</v>
      </c>
      <c r="L95" s="10" t="s">
        <v>49</v>
      </c>
      <c r="M95" s="10" t="s">
        <v>115</v>
      </c>
      <c r="N95" s="12" t="s">
        <v>116</v>
      </c>
      <c r="O95" s="10" t="s">
        <v>117</v>
      </c>
      <c r="P95" s="102" t="s">
        <v>353</v>
      </c>
      <c r="Q95" s="10" t="s">
        <v>354</v>
      </c>
      <c r="R95" s="10" t="s">
        <v>49</v>
      </c>
      <c r="S95" s="10" t="s">
        <v>25</v>
      </c>
      <c r="T95" s="2" t="str">
        <f t="shared" ref="T95:T97" si="4">IF(
  OR(
    IFERROR(FIND("BM",G95),0)&gt;0,
    IFERROR(FIND("PY",G95),0)&gt;0
  ),
  MID(TRIM(SUBSTITUTE(SUBSTITUTE(G95,CHAR(160),""),CHAR(9),"")),4,5),
  MID(TRIM(SUBSTITUTE(SUBSTITUTE(G95,CHAR(160),""),CHAR(9),"")),4,4)
)</f>
        <v>5080E</v>
      </c>
      <c r="U95" s="2" t="str" cm="1">
        <f t="array" ref="U95">_xlfn.LET(
  _xlpm.ch, TRIM(SUBSTITUTE(G95,CHAR(160),"")),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IF(L95="CLIENTE", O95, IF(LEFT(L95,4)="http", L95, "MACPONTA AGRO DE "&amp;L95)),
  _xlpm.paraBase, IF(M95="CLIENTE", P95, M95),
  _xlpm.paraTxt, IF(LEFT(_xlpm.paraBase,4)="http", _xlpm.paraBase, "MACPONTA AGRO DE "&amp;_xlpm.paraBase),
  _xlpm.nfParte, IF(LEN(TRIM(I95))=0, "", " -NF "&amp;TRIM(I95)),
  "- " &amp; _xlpm.tipotxt &amp; ": *" &amp; G95 &amp; "*" &amp; CHAR(13)&amp;CHAR(10) &amp;
  "- " &amp; _xlpm.dimtxt &amp; CHAR(13)&amp;CHAR(10) &amp;
  "- *Cliente*: " &amp; J95 &amp; _xlpm.nfParte &amp; CHAR(13)&amp;CHAR(10) &amp;
  "- *Obs:* " &amp; O95 &amp; CHAR(13)&amp;CHAR(10) &amp; CHAR(10) &amp;
  "- *De*: " &amp; _xlpm.deTxt &amp; CHAR(13)&amp;CHAR(10) &amp;
  "- *Para*: " &amp; _xlpm.paraTxt &amp; CHAR(13)&amp;CHAR(10) &amp;
  "- *Ida e volta*: +/- " &amp; TEXT(((D95*1.5)/1440),"h:mm") &amp; "h | " &amp; D95 &amp; "km"
)</f>
        <v>- TRATOR: *1BM5080EJS2202873*_x000D_
- A:2,60 x C:4,08 x L:1,45-2,00 x P:5.100kg_x000D_
- *Cliente*: RICARDO TOREZAN - NF??_x000D_
- *Obs:* MPA_x000D_
- *De*: MACPONTA AGRO DE ARAPOTI_x000D_
- *Para*: https://maps.app.goo.gl/LjXYRPEnMre3jJkVA_x000D_
- *Ida e volta*: +/- 3:52h | 155km</v>
      </c>
    </row>
    <row r="96" spans="1:21" ht="15" customHeight="1">
      <c r="A96" s="12" t="s">
        <v>355</v>
      </c>
      <c r="B96" s="10" t="s">
        <v>335</v>
      </c>
      <c r="C96" s="97">
        <f>IFERROR((D96*1.5)/1440, "?")</f>
        <v>2.8125000000000001E-2</v>
      </c>
      <c r="D96" s="10">
        <v>27</v>
      </c>
      <c r="E96" s="98">
        <v>100</v>
      </c>
      <c r="F96" s="99"/>
      <c r="G96" s="10" t="s">
        <v>339</v>
      </c>
      <c r="H96" s="100">
        <v>45993</v>
      </c>
      <c r="I96" s="101"/>
      <c r="J96" s="10" t="s">
        <v>356</v>
      </c>
      <c r="K96" s="10" t="s">
        <v>302</v>
      </c>
      <c r="L96" s="10" t="s">
        <v>148</v>
      </c>
      <c r="M96" s="10" t="s">
        <v>115</v>
      </c>
      <c r="N96" s="12" t="s">
        <v>259</v>
      </c>
      <c r="O96" s="10" t="s">
        <v>117</v>
      </c>
      <c r="P96" s="137" t="s">
        <v>357</v>
      </c>
      <c r="Q96" s="10" t="s">
        <v>358</v>
      </c>
      <c r="R96" s="10" t="s">
        <v>148</v>
      </c>
      <c r="S96" s="10" t="s">
        <v>23</v>
      </c>
      <c r="T96" s="2" t="str">
        <f t="shared" si="4"/>
        <v>FA25</v>
      </c>
      <c r="U96" s="2" t="str" cm="1">
        <f t="array" ref="U96">_xlfn.LET(
  _xlpm.ch, TRIM(SUBSTITUTE(G96,CHAR(160),"")),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IF(L96="CLIENTE", O96, IF(LEFT(L96,4)="http", L96, "MACPONTA AGRO DE "&amp;L96)),
  _xlpm.paraBase, IF(M96="CLIENTE", P96, M96),
  _xlpm.paraTxt, IF(LEFT(_xlpm.paraBase,4)="http", _xlpm.paraBase, "MACPONTA AGRO DE "&amp;_xlpm.paraBase),
  _xlpm.nfParte, IF(LEN(TRIM(I96))=0, "", " -NF "&amp;TRIM(I96)),
  "- " &amp; _xlpm.tipotxt &amp; ": *" &amp; G96 &amp; "*" &amp; CHAR(13)&amp;CHAR(10) &amp;
  "- " &amp; _xlpm.dimtxt &amp; CHAR(13)&amp;CHAR(10) &amp;
  "- *Cliente*: " &amp; J96 &amp; _xlpm.nfParte &amp; CHAR(13)&amp;CHAR(10) &amp;
  "- *Obs:* " &amp; O96 &amp; CHAR(13)&amp;CHAR(10) &amp; CHAR(10) &amp;
  "- *De*: " &amp; _xlpm.deTxt &amp; CHAR(13)&amp;CHAR(10) &amp;
  "- *Para*: " &amp; _xlpm.paraTxt &amp; CHAR(13)&amp;CHAR(10) &amp;
  "- *Ida e volta*: +/- " &amp; TEXT(((D96*1.5)/1440),"h:mm") &amp; "h | " &amp; D96 &amp; "km"
)</f>
        <v>- PLATAFORMA: *1CQFA25ALS0160148*_x000D_
- A:1,60 x C:7,60 x L:1,80-1,80 x P:2.100kg_x000D_
- *Cliente*: SITIO SÃO JOÃO -NF279149_x000D_
- *Obs:* MPA_x000D_
- *De*: MACPONTA AGRO DE PONTA GROSSA_x000D_
- *Para*: https://maps.app.goo.gl/Pdqbe6rfdzAyjWvL8_x000D_
- *Ida e volta*: +/- 0:40h | 27km</v>
      </c>
    </row>
    <row r="97" spans="1:21" ht="15" customHeight="1">
      <c r="A97" s="12" t="s">
        <v>355</v>
      </c>
      <c r="B97" s="10" t="s">
        <v>335</v>
      </c>
      <c r="C97" s="97">
        <f>IFERROR((D97*1.5)/1440, "?")</f>
        <v>2.8125000000000001E-2</v>
      </c>
      <c r="D97" s="10">
        <v>27</v>
      </c>
      <c r="E97" s="98">
        <v>200</v>
      </c>
      <c r="F97" s="99"/>
      <c r="G97" s="10" t="s">
        <v>340</v>
      </c>
      <c r="H97" s="100">
        <v>45993</v>
      </c>
      <c r="I97" s="101"/>
      <c r="J97" s="10" t="s">
        <v>356</v>
      </c>
      <c r="K97" s="10" t="s">
        <v>302</v>
      </c>
      <c r="L97" s="10" t="s">
        <v>148</v>
      </c>
      <c r="M97" s="10" t="s">
        <v>115</v>
      </c>
      <c r="N97" s="12" t="s">
        <v>259</v>
      </c>
      <c r="O97" s="10" t="s">
        <v>117</v>
      </c>
      <c r="P97" s="137" t="s">
        <v>357</v>
      </c>
      <c r="Q97" s="10" t="s">
        <v>358</v>
      </c>
      <c r="R97" s="10" t="s">
        <v>148</v>
      </c>
      <c r="S97" s="10" t="s">
        <v>21</v>
      </c>
      <c r="T97" s="2" t="str">
        <f t="shared" si="4"/>
        <v>S440</v>
      </c>
      <c r="U97" s="2" t="str" cm="1">
        <f t="array" ref="U97">_xlfn.LET(
  _xlpm.ch, TRIM(SUBSTITUTE(G97,CHAR(160),"")),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IF(L97="CLIENTE", O97, IF(LEFT(L97,4)="http", L97, "MACPONTA AGRO DE "&amp;L97)),
  _xlpm.paraBase, IF(M97="CLIENTE", P97, M97),
  _xlpm.paraTxt, IF(LEFT(_xlpm.paraBase,4)="http", _xlpm.paraBase, "MACPONTA AGRO DE "&amp;_xlpm.paraBase),
  _xlpm.nfParte, IF(LEN(TRIM(I97))=0, "", " -NF "&amp;TRIM(I97)),
  "- " &amp; _xlpm.tipotxt &amp; ": *" &amp; G97 &amp; "*" &amp; CHAR(13)&amp;CHAR(10) &amp;
  "- " &amp; _xlpm.dimtxt &amp; CHAR(13)&amp;CHAR(10) &amp;
  "- *Cliente*: " &amp; J97 &amp; _xlpm.nfParte &amp; CHAR(13)&amp;CHAR(10) &amp;
  "- *Obs:* " &amp; O97 &amp; CHAR(13)&amp;CHAR(10) &amp; CHAR(10) &amp;
  "- *De*: " &amp; _xlpm.deTxt &amp; CHAR(13)&amp;CHAR(10) &amp;
  "- *Para*: " &amp; _xlpm.paraTxt &amp; CHAR(13)&amp;CHAR(10) &amp;
  "- *Ida e volta*: +/- " &amp; TEXT(((D97*1.5)/1440),"h:mm") &amp; "h | " &amp; D97 &amp; "km"
)</f>
        <v>- COLHEITADEIRA: *1CQS440AVS0155148*_x000D_
- A:4,10 x C:7,70 x L:3,40-4,10 x P:11.800kg_x000D_
- *Cliente*: SITIO SÃO JOÃO -NF279149_x000D_
- *Obs:* MPA_x000D_
- *De*: MACPONTA AGRO DE PONTA GROSSA_x000D_
- *Para*: https://maps.app.goo.gl/Pdqbe6rfdzAyjWvL8_x000D_
- *Ida e volta*: +/- 0:40h | 27km</v>
      </c>
    </row>
    <row r="98" spans="1:21" ht="15" customHeight="1">
      <c r="A98" s="12" t="s">
        <v>355</v>
      </c>
      <c r="B98" s="10" t="s">
        <v>335</v>
      </c>
      <c r="C98" s="97">
        <f>IFERROR((D98*1.5)/1440, "?")</f>
        <v>0.10729166666666666</v>
      </c>
      <c r="D98" s="10">
        <v>103</v>
      </c>
      <c r="E98" s="98">
        <f>IFERROR((D98*6),"?")</f>
        <v>618</v>
      </c>
      <c r="F98" s="99"/>
      <c r="G98" s="10" t="s">
        <v>359</v>
      </c>
      <c r="H98" s="100">
        <v>45993</v>
      </c>
      <c r="I98" s="101"/>
      <c r="J98" s="10" t="s">
        <v>360</v>
      </c>
      <c r="K98" s="10" t="s">
        <v>153</v>
      </c>
      <c r="L98" s="10" t="s">
        <v>148</v>
      </c>
      <c r="M98" s="10" t="s">
        <v>115</v>
      </c>
      <c r="N98" s="12" t="s">
        <v>116</v>
      </c>
      <c r="O98" s="10" t="s">
        <v>117</v>
      </c>
      <c r="P98" s="138" t="s">
        <v>361</v>
      </c>
      <c r="Q98" s="10" t="s">
        <v>362</v>
      </c>
      <c r="R98" s="10" t="s">
        <v>148</v>
      </c>
      <c r="S98" s="10" t="s">
        <v>25</v>
      </c>
      <c r="T98" s="2" t="str">
        <f t="shared" ref="T98:T101" si="5">IF(
  OR(
    IFERROR(FIND("BM",G98),0)&gt;0,
    IFERROR(FIND("PY",G98),0)&gt;0
  ),
  MID(TRIM(SUBSTITUTE(SUBSTITUTE(G98,CHAR(160),""),CHAR(9),"")),4,5),
  MID(TRIM(SUBSTITUTE(SUBSTITUTE(G98,CHAR(160),""),CHAR(9),"")),4,4)
)</f>
        <v>5080E</v>
      </c>
      <c r="U98" s="2" t="str" cm="1">
        <f t="array" ref="U98">_xlfn.LET(
  _xlpm.ch, TRIM(SUBSTITUTE(G98,CHAR(160),"")),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IF(L98="CLIENTE", O98, IF(LEFT(L98,4)="http", L98, "MACPONTA AGRO DE "&amp;L98)),
  _xlpm.paraBase, IF(M98="CLIENTE", P98, M98),
  _xlpm.paraTxt, IF(LEFT(_xlpm.paraBase,4)="http", _xlpm.paraBase, "MACPONTA AGRO DE "&amp;_xlpm.paraBase),
  _xlpm.nfParte, IF(LEN(TRIM(I98))=0, "", " -NF "&amp;TRIM(I98)),
  "- " &amp; _xlpm.tipotxt &amp; ": *" &amp; G98 &amp; "*" &amp; CHAR(13)&amp;CHAR(10) &amp;
  "- " &amp; _xlpm.dimtxt &amp; CHAR(13)&amp;CHAR(10) &amp;
  "- *Cliente*: " &amp; J98 &amp; _xlpm.nfParte &amp; CHAR(13)&amp;CHAR(10) &amp;
  "- *Obs:* " &amp; O98 &amp; CHAR(13)&amp;CHAR(10) &amp; CHAR(10) &amp;
  "- *De*: " &amp; _xlpm.deTxt &amp; CHAR(13)&amp;CHAR(10) &amp;
  "- *Para*: " &amp; _xlpm.paraTxt &amp; CHAR(13)&amp;CHAR(10) &amp;
  "- *Ida e volta*: +/- " &amp; TEXT(((D98*1.5)/1440),"h:mm") &amp; "h | " &amp; D98 &amp; "km"
)</f>
        <v>- TRATOR: *1BM5080EVS6204327*_x000D_
- A:2,60 x C:4,08 x L:1,45-2,00 x P:5.100kg_x000D_
- *Cliente*: MARIA BORKOSKI -NF278379_x000D_
- *Obs:* MPA_x000D_
- *De*: MACPONTA AGRO DE PONTA GROSSA_x000D_
- *Para*: https://maps.app.goo.gl/pz4jP4cRzqhcm3mP6_x000D_
- *Ida e volta*: +/- 2:34h | 103km</v>
      </c>
    </row>
    <row r="99" spans="1:21" ht="15" customHeight="1">
      <c r="A99" s="12" t="s">
        <v>355</v>
      </c>
      <c r="B99" s="10" t="s">
        <v>335</v>
      </c>
      <c r="C99" s="97">
        <f>IFERROR((D99*1.5)/1440, "?")</f>
        <v>0.10729166666666666</v>
      </c>
      <c r="D99" s="10">
        <v>103</v>
      </c>
      <c r="E99" s="98">
        <f>IFERROR((D99*6),"?")</f>
        <v>618</v>
      </c>
      <c r="F99" s="99"/>
      <c r="G99" s="10" t="s">
        <v>363</v>
      </c>
      <c r="H99" s="100">
        <v>45993</v>
      </c>
      <c r="I99" s="101"/>
      <c r="J99" s="10" t="s">
        <v>364</v>
      </c>
      <c r="K99" s="10" t="s">
        <v>153</v>
      </c>
      <c r="L99" s="10" t="s">
        <v>148</v>
      </c>
      <c r="M99" s="10" t="s">
        <v>115</v>
      </c>
      <c r="N99" s="12" t="s">
        <v>116</v>
      </c>
      <c r="O99" s="10" t="s">
        <v>117</v>
      </c>
      <c r="P99" s="138" t="s">
        <v>361</v>
      </c>
      <c r="Q99" s="10" t="s">
        <v>362</v>
      </c>
      <c r="R99" s="10" t="s">
        <v>148</v>
      </c>
      <c r="S99" s="10" t="s">
        <v>25</v>
      </c>
      <c r="T99" s="2" t="str">
        <f t="shared" si="5"/>
        <v>5080E</v>
      </c>
      <c r="U99" s="2" t="str" cm="1">
        <f t="array" ref="U99">_xlfn.LET(
  _xlpm.ch, TRIM(SUBSTITUTE(G99,CHAR(160),"")),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IF(L99="CLIENTE", O99, IF(LEFT(L99,4)="http", L99, "MACPONTA AGRO DE "&amp;L99)),
  _xlpm.paraBase, IF(M99="CLIENTE", P99, M99),
  _xlpm.paraTxt, IF(LEFT(_xlpm.paraBase,4)="http", _xlpm.paraBase, "MACPONTA AGRO DE "&amp;_xlpm.paraBase),
  _xlpm.nfParte, IF(LEN(TRIM(I99))=0, "", " -NF "&amp;TRIM(I99)),
  "- " &amp; _xlpm.tipotxt &amp; ": *" &amp; G99 &amp; "*" &amp; CHAR(13)&amp;CHAR(10) &amp;
  "- " &amp; _xlpm.dimtxt &amp; CHAR(13)&amp;CHAR(10) &amp;
  "- *Cliente*: " &amp; J99 &amp; _xlpm.nfParte &amp; CHAR(13)&amp;CHAR(10) &amp;
  "- *Obs:* " &amp; O99 &amp; CHAR(13)&amp;CHAR(10) &amp; CHAR(10) &amp;
  "- *De*: " &amp; _xlpm.deTxt &amp; CHAR(13)&amp;CHAR(10) &amp;
  "- *Para*: " &amp; _xlpm.paraTxt &amp; CHAR(13)&amp;CHAR(10) &amp;
  "- *Ida e volta*: +/- " &amp; TEXT(((D99*1.5)/1440),"h:mm") &amp; "h | " &amp; D99 &amp; "km"
)</f>
        <v>- TRATOR: *1BM5080EVS6204375*_x000D_
- A:2,60 x C:4,08 x L:1,45-2,00 x P:5.100kg_x000D_
- *Cliente*: CARLA BORKOSKI -NF278340_x000D_
- *Obs:* MPA_x000D_
- *De*: MACPONTA AGRO DE PONTA GROSSA_x000D_
- *Para*: https://maps.app.goo.gl/pz4jP4cRzqhcm3mP6_x000D_
- *Ida e volta*: +/- 2:34h | 103km</v>
      </c>
    </row>
    <row r="100" spans="1:21" ht="15" customHeight="1">
      <c r="A100" s="12" t="s">
        <v>355</v>
      </c>
      <c r="B100" s="10" t="s">
        <v>335</v>
      </c>
      <c r="C100" s="97">
        <f>IFERROR((D100*1.5)/1440, "?")</f>
        <v>0.14583333333333334</v>
      </c>
      <c r="D100" s="10">
        <v>140</v>
      </c>
      <c r="E100" s="98">
        <v>200</v>
      </c>
      <c r="F100" s="99"/>
      <c r="G100" s="10" t="s">
        <v>365</v>
      </c>
      <c r="H100" s="100">
        <v>45993</v>
      </c>
      <c r="I100" s="101"/>
      <c r="J100" s="10" t="s">
        <v>366</v>
      </c>
      <c r="K100" s="10" t="s">
        <v>153</v>
      </c>
      <c r="L100" s="10" t="s">
        <v>148</v>
      </c>
      <c r="M100" s="10" t="s">
        <v>115</v>
      </c>
      <c r="N100" s="12" t="s">
        <v>116</v>
      </c>
      <c r="O100" s="10" t="s">
        <v>117</v>
      </c>
      <c r="P100" s="138" t="s">
        <v>367</v>
      </c>
      <c r="Q100" s="10" t="s">
        <v>368</v>
      </c>
      <c r="R100" s="10" t="s">
        <v>148</v>
      </c>
      <c r="S100" s="10" t="s">
        <v>23</v>
      </c>
      <c r="T100" s="2" t="str">
        <f t="shared" si="5"/>
        <v>FA25</v>
      </c>
      <c r="U100" s="2" t="str" cm="1">
        <f t="array" ref="U100">_xlfn.LET(
  _xlpm.ch, TRIM(SUBSTITUTE(G100,CHAR(160),"")),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IF(L100="CLIENTE", O100, IF(LEFT(L100,4)="http", L100, "MACPONTA AGRO DE "&amp;L100)),
  _xlpm.paraBase, IF(M100="CLIENTE", P100, M100),
  _xlpm.paraTxt, IF(LEFT(_xlpm.paraBase,4)="http", _xlpm.paraBase, "MACPONTA AGRO DE "&amp;_xlpm.paraBase),
  _xlpm.nfParte, IF(LEN(TRIM(I100))=0, "", " -NF "&amp;TRIM(I100)),
  "- " &amp; _xlpm.tipotxt &amp; ": *" &amp; G100 &amp; "*" &amp; CHAR(13)&amp;CHAR(10) &amp;
  "- " &amp; _xlpm.dimtxt &amp; CHAR(13)&amp;CHAR(10) &amp;
  "- *Cliente*: " &amp; J100 &amp; _xlpm.nfParte &amp; CHAR(13)&amp;CHAR(10) &amp;
  "- *Obs:* " &amp; O100 &amp; CHAR(13)&amp;CHAR(10) &amp; CHAR(10) &amp;
  "- *De*: " &amp; _xlpm.deTxt &amp; CHAR(13)&amp;CHAR(10) &amp;
  "- *Para*: " &amp; _xlpm.paraTxt &amp; CHAR(13)&amp;CHAR(10) &amp;
  "- *Ida e volta*: +/- " &amp; TEXT(((D100*1.5)/1440),"h:mm") &amp; "h | " &amp; D100 &amp; "km"
)</f>
        <v>- PLATAFORMA: *1CQFA25AES0160153*_x000D_
- A:1,60 x C:7,60 x L:1,80-1,80 x P:2.100kg_x000D_
- *Cliente*: MARCELO RIBEIRO DE NARDI -NF_x000D_
- *Obs:* MPA_x000D_
- *De*: MACPONTA AGRO DE PONTA GROSSA_x000D_
- *Para*: https://maps.app.goo.gl/a7As7SRaDnZSRB6c6_x000D_
- *Ida e volta*: +/- 3:30h | 140km</v>
      </c>
    </row>
    <row r="101" spans="1:21" ht="15" customHeight="1">
      <c r="A101" s="12" t="s">
        <v>355</v>
      </c>
      <c r="B101" s="10" t="s">
        <v>335</v>
      </c>
      <c r="C101" s="97">
        <f>IFERROR((D101*1.5)/1440, "?")</f>
        <v>0.14583333333333334</v>
      </c>
      <c r="D101" s="10">
        <v>140</v>
      </c>
      <c r="E101" s="98">
        <v>800</v>
      </c>
      <c r="F101" s="99"/>
      <c r="G101" s="10" t="s">
        <v>369</v>
      </c>
      <c r="H101" s="100">
        <v>45993</v>
      </c>
      <c r="I101" s="101"/>
      <c r="J101" s="10" t="s">
        <v>366</v>
      </c>
      <c r="K101" s="10" t="s">
        <v>153</v>
      </c>
      <c r="L101" s="10" t="s">
        <v>148</v>
      </c>
      <c r="M101" s="10" t="s">
        <v>115</v>
      </c>
      <c r="N101" s="12" t="s">
        <v>116</v>
      </c>
      <c r="O101" s="10" t="s">
        <v>117</v>
      </c>
      <c r="P101" s="138" t="s">
        <v>367</v>
      </c>
      <c r="Q101" s="10" t="s">
        <v>368</v>
      </c>
      <c r="R101" s="10" t="s">
        <v>148</v>
      </c>
      <c r="S101" s="10" t="s">
        <v>21</v>
      </c>
      <c r="T101" s="2" t="str">
        <f t="shared" si="5"/>
        <v>S440</v>
      </c>
      <c r="U101" s="2" t="str" cm="1">
        <f t="array" ref="U101">_xlfn.LET(
  _xlpm.ch, TRIM(SUBSTITUTE(G101,CHAR(160),"")),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IF(L101="CLIENTE", O101, IF(LEFT(L101,4)="http", L101, "MACPONTA AGRO DE "&amp;L101)),
  _xlpm.paraBase, IF(M101="CLIENTE", P101, M101),
  _xlpm.paraTxt, IF(LEFT(_xlpm.paraBase,4)="http", _xlpm.paraBase, "MACPONTA AGRO DE "&amp;_xlpm.paraBase),
  _xlpm.nfParte, IF(LEN(TRIM(I101))=0, "", " -NF "&amp;TRIM(I101)),
  "- " &amp; _xlpm.tipotxt &amp; ": *" &amp; G101 &amp; "*" &amp; CHAR(13)&amp;CHAR(10) &amp;
  "- " &amp; _xlpm.dimtxt &amp; CHAR(13)&amp;CHAR(10) &amp;
  "- *Cliente*: " &amp; J101 &amp; _xlpm.nfParte &amp; CHAR(13)&amp;CHAR(10) &amp;
  "- *Obs:* " &amp; O101 &amp; CHAR(13)&amp;CHAR(10) &amp; CHAR(10) &amp;
  "- *De*: " &amp; _xlpm.deTxt &amp; CHAR(13)&amp;CHAR(10) &amp;
  "- *Para*: " &amp; _xlpm.paraTxt &amp; CHAR(13)&amp;CHAR(10) &amp;
  "- *Ida e volta*: +/- " &amp; TEXT(((D101*1.5)/1440),"h:mm") &amp; "h | " &amp; D101 &amp; "km"
)</f>
        <v>- COLHEITADEIRA: *1CQS440AES0155172*_x000D_
- A:4,10 x C:7,70 x L:3,40-4,10 x P:11.800kg_x000D_
- *Cliente*: MARCELO RIBEIRO DE NARDI -NF_x000D_
- *Obs:* MPA_x000D_
- *De*: MACPONTA AGRO DE PONTA GROSSA_x000D_
- *Para*: https://maps.app.goo.gl/a7As7SRaDnZSRB6c6_x000D_
- *Ida e volta*: +/- 3:30h | 140km</v>
      </c>
    </row>
  </sheetData>
  <conditionalFormatting sqref="A2:S999">
    <cfRule type="expression" dxfId="115" priority="1">
      <formula>$A2="EM ROTA (D)"</formula>
    </cfRule>
    <cfRule type="expression" dxfId="114" priority="2">
      <formula>$A2="CONCLUIDO"</formula>
    </cfRule>
    <cfRule type="expression" dxfId="113" priority="3">
      <formula>MID(TRIM($A2), LEN(TRIM($A2))-2, 3)="(D)"</formula>
    </cfRule>
    <cfRule type="expression" dxfId="112" priority="6">
      <formula>$A2="RECEBIDO"</formula>
    </cfRule>
    <cfRule type="expression" dxfId="111" priority="7">
      <formula>$A2="EM ROTA"</formula>
    </cfRule>
    <cfRule type="expression" dxfId="110" priority="8">
      <formula>$A2="RECEBIDO (D)"</formula>
    </cfRule>
    <cfRule type="expression" dxfId="109" priority="10">
      <formula>$A2="SUSPENSO"</formula>
    </cfRule>
    <cfRule type="expression" dxfId="108" priority="11">
      <formula>$A2="PROGRAMADO (D)"</formula>
    </cfRule>
    <cfRule type="expression" dxfId="107" priority="12">
      <formula>$A2="PROGRAMADO"</formula>
    </cfRule>
    <cfRule type="expression" dxfId="106" priority="13">
      <formula>$A2="CONCLUIDO (D)"</formula>
    </cfRule>
    <cfRule type="expression" dxfId="105" priority="14">
      <formula>$A2="CONCLUIDO"</formula>
    </cfRule>
  </conditionalFormatting>
  <dataValidations count="1">
    <dataValidation type="list" allowBlank="1" showInputMessage="1" showErrorMessage="1" sqref="A1:A1048576" xr:uid="{4D5187C4-678B-4AE4-9889-EBDC0C33B882}">
      <formula1>"RECEBIDO, PROGRAMADO, EM ROTA, CONCLUIDO, SUSPENSO, RECEBIDO (D), PROGRAMADO (D), EM ROTA (D), CONCLUIDO (D)"</formula1>
    </dataValidation>
  </dataValidations>
  <hyperlinks>
    <hyperlink ref="P28" r:id="rId1" xr:uid="{75EA1572-4E70-4368-9024-D36A5031CF77}"/>
    <hyperlink ref="P27" r:id="rId2" xr:uid="{435849A8-839C-43A0-9267-3B1454FD6773}"/>
    <hyperlink ref="P20" r:id="rId3" xr:uid="{A6333FCA-E19F-43A3-950F-A308342CB5DD}"/>
    <hyperlink ref="O32" r:id="rId4" xr:uid="{C0918EF2-2671-4F78-B591-20D1DC456C4E}"/>
    <hyperlink ref="P33" r:id="rId5" xr:uid="{D5B5386C-AFCF-405F-B3F3-459AA642F2A9}"/>
    <hyperlink ref="P18" r:id="rId6" xr:uid="{31CD4452-56FC-4F33-99C1-021BEE35F71F}"/>
    <hyperlink ref="O4" r:id="rId7" xr:uid="{4A47B6B5-05B6-4FD2-8E18-430E1F960A69}"/>
    <hyperlink ref="P3" r:id="rId8" xr:uid="{2A6D3CC1-EA49-4F77-A043-5FC210C3BD02}"/>
    <hyperlink ref="P2" r:id="rId9" xr:uid="{C1AEFEB4-9C29-429C-8EEC-AAFC0B6CDFBB}"/>
    <hyperlink ref="P26" r:id="rId10" xr:uid="{5B4D843B-82B6-4F9B-8F0A-834801B5E06F}"/>
    <hyperlink ref="P7" r:id="rId11" xr:uid="{D68746AF-56C7-464A-9E01-B0AAC1599751}"/>
    <hyperlink ref="P6" r:id="rId12" xr:uid="{ADE12B44-2900-4C30-B47E-F03F78CA75BC}"/>
    <hyperlink ref="P15" r:id="rId13" xr:uid="{07D0604E-38E9-4ABE-96F7-184A04908147}"/>
    <hyperlink ref="O11" r:id="rId14" xr:uid="{F9A9E001-FEF5-40F0-8838-3469A37D429E}"/>
    <hyperlink ref="O31" r:id="rId15" xr:uid="{06E51068-1537-48EF-B6D2-AD368A045A4F}"/>
    <hyperlink ref="P9" r:id="rId16" xr:uid="{A0D7B831-1C98-4BAC-9B96-2E3DDA12CAD6}"/>
    <hyperlink ref="O38" r:id="rId17" xr:uid="{58E18D77-BC8C-4AAA-8C5B-D8D816C5597D}"/>
    <hyperlink ref="O54" r:id="rId18" xr:uid="{49E32A6B-1D53-44FA-A63E-AE7ED51C6BB4}"/>
    <hyperlink ref="O53" r:id="rId19" xr:uid="{A563442D-4636-4B28-AF55-E73353D5A8FF}"/>
    <hyperlink ref="P47" r:id="rId20" xr:uid="{DDBBA29C-7E12-4A7F-B1BD-729F97F36EC0}"/>
    <hyperlink ref="P37" r:id="rId21" xr:uid="{69A0E6A3-CB05-4831-88C8-C264BA5A02A4}"/>
    <hyperlink ref="P36" r:id="rId22" xr:uid="{EA0E728B-082A-4496-941D-57DBFD0CF285}"/>
    <hyperlink ref="P39" r:id="rId23" xr:uid="{4C03A0CE-188D-4B68-9A99-91D9CEAF9E18}"/>
    <hyperlink ref="P43" r:id="rId24" xr:uid="{13EDB386-4E0E-4D1A-BCA6-19F27986D489}"/>
    <hyperlink ref="P42" r:id="rId25" xr:uid="{34B9268E-7F86-4722-B0B6-B35B9B9B3993}"/>
    <hyperlink ref="P40" r:id="rId26" xr:uid="{3FE4D758-9688-4B06-AA49-8C53988C80C6}"/>
    <hyperlink ref="P41" r:id="rId27" xr:uid="{016F82C3-CFE1-44B2-98E2-0C724A7F1702}"/>
    <hyperlink ref="P52" r:id="rId28" xr:uid="{9C1805EF-7356-427A-9CA4-1FF7694899C4}"/>
    <hyperlink ref="P51" r:id="rId29" xr:uid="{9FC39184-978C-43D1-A98E-8E82D9F098F0}"/>
    <hyperlink ref="P97" r:id="rId30" xr:uid="{96286438-362B-40DD-B9A3-7A3553982567}"/>
    <hyperlink ref="P96" r:id="rId31" xr:uid="{965E07E1-48EF-4AF2-99AC-86613E3A391B}"/>
    <hyperlink ref="P89" r:id="rId32" xr:uid="{7939B7CF-4BAE-41E7-894E-4BF1E1C84D25}"/>
    <hyperlink ref="P60" r:id="rId33" xr:uid="{C440054D-D2F0-4CAA-A620-C4D3B3E9D0B6}"/>
    <hyperlink ref="P59" r:id="rId34" xr:uid="{29E21E59-DC81-4DC3-AF06-F8EC99091C7C}"/>
    <hyperlink ref="P67" r:id="rId35" xr:uid="{AFD9AB9F-C81B-4BD1-A40B-01457D02EE0F}"/>
    <hyperlink ref="P66" r:id="rId36" xr:uid="{6B8816EA-1A07-4859-B5B3-5FC01F9DC124}"/>
    <hyperlink ref="P63" r:id="rId37" xr:uid="{A9AA373C-FC1A-40E9-A8D8-5BFCCBF6916F}"/>
    <hyperlink ref="P64" r:id="rId38" xr:uid="{FA978F4C-E7D2-4FD1-B8B6-C3972C68FEE9}"/>
    <hyperlink ref="P65" r:id="rId39" xr:uid="{B6529B0B-AEB3-4E9D-8BEC-03865EA6C14C}"/>
    <hyperlink ref="P78" r:id="rId40" xr:uid="{515BDF3D-BAB1-4FFA-968A-8936C709C958}"/>
    <hyperlink ref="P77" r:id="rId41" xr:uid="{51C4937D-DAC7-4274-8C14-92EA30D60D1D}"/>
    <hyperlink ref="P75" r:id="rId42" xr:uid="{43BCC242-78E4-41A7-B235-8863F0D146FA}"/>
    <hyperlink ref="P76" r:id="rId43" xr:uid="{F2E26CDA-9FC4-476C-976B-0620D5373FD4}"/>
    <hyperlink ref="P84" r:id="rId44" xr:uid="{521D8005-3A9F-489A-9682-67A1E649258D}"/>
    <hyperlink ref="P83" r:id="rId45" xr:uid="{E72D2001-A5E3-4F6D-B789-D6365834A689}"/>
    <hyperlink ref="P81" r:id="rId46" xr:uid="{79D35B82-0198-4B1A-B23B-4DB30E39C1EA}"/>
    <hyperlink ref="P82" r:id="rId47" xr:uid="{8EFE1176-A41A-4C7C-B74C-D0E39306ECF1}"/>
    <hyperlink ref="P99" r:id="rId48" xr:uid="{DCEEFE8E-9F59-4A17-94AF-4FDBFA3483A7}"/>
    <hyperlink ref="P98" r:id="rId49" xr:uid="{3428B944-7129-440B-B67A-440832101F75}"/>
    <hyperlink ref="P101" r:id="rId50" xr:uid="{B4D29A4F-8DB3-464E-8AF6-648AB5756658}"/>
    <hyperlink ref="P100" r:id="rId51" xr:uid="{6621978F-BBD4-4FE8-9B45-E091A0DEA9B2}"/>
    <hyperlink ref="P46" r:id="rId52" xr:uid="{98BE7C7D-BDFD-49DE-AD2C-8CC1D975EE54}"/>
    <hyperlink ref="P48" r:id="rId53" xr:uid="{80FCD3D6-886A-4753-BD5E-76BF381F09DD}"/>
    <hyperlink ref="P50" r:id="rId54" xr:uid="{35C8F299-0431-4154-BA8E-D57684DD5AFF}"/>
    <hyperlink ref="P49" r:id="rId55" xr:uid="{039A2838-E872-4E04-BD73-2D02C60901F5}"/>
    <hyperlink ref="P44" r:id="rId56" xr:uid="{10916CED-24C0-44F1-BF83-3DF6225C255A}"/>
    <hyperlink ref="P45" r:id="rId57" xr:uid="{185DC344-E77D-4E79-9F13-4A4114AD973A}"/>
    <hyperlink ref="P79" r:id="rId58" xr:uid="{33F6CDA7-9184-4782-9824-A8A77009C9F3}"/>
    <hyperlink ref="P80" r:id="rId59" xr:uid="{BE1605CF-AD15-42C6-B239-3BD3AF93EC89}"/>
    <hyperlink ref="P69" r:id="rId60" xr:uid="{97D22250-76AA-4A54-98A4-33B9943F85B5}"/>
    <hyperlink ref="P70" r:id="rId61" xr:uid="{EB6F1AD3-7CE1-4326-A2DF-19596935B0AF}"/>
    <hyperlink ref="P71" r:id="rId62" xr:uid="{98603C66-FEE4-4179-ADAB-C560D329E03F}"/>
    <hyperlink ref="P90" r:id="rId63" xr:uid="{2C698C04-66B3-4D04-A398-67F6DDD3BB80}"/>
    <hyperlink ref="P35" r:id="rId64" xr:uid="{E1CCDE4A-D69B-4D05-A801-DC5AA12ED887}"/>
    <hyperlink ref="P68" r:id="rId65" xr:uid="{1073D3A3-41C8-4256-95E9-6127A1A32F76}"/>
    <hyperlink ref="P72" r:id="rId66" xr:uid="{0A6CC034-D864-421B-BA88-2F5ABBB14BD0}"/>
    <hyperlink ref="P73" r:id="rId67" xr:uid="{BD2499CB-B0AD-49AE-ACF1-607AEB2721F6}"/>
    <hyperlink ref="P74" r:id="rId68" xr:uid="{2D49FF25-74D6-4B9F-9447-45D7192BFEE8}"/>
    <hyperlink ref="P86" r:id="rId69" display="https://maps.app.goo.gl/3soe1M5yfNku9zP88" xr:uid="{E7654C6C-1D9E-4ED8-B2EB-7DC0CE7C8A34}"/>
    <hyperlink ref="P87" r:id="rId70" display="https://maps.app.goo.gl/3soe1M5yfNku9zP88" xr:uid="{4B385D95-DBC4-481F-AC82-5EDCBEDBB016}"/>
    <hyperlink ref="P88" r:id="rId71" display="https://maps.app.goo.gl/3soe1M5yfNku9zP88" xr:uid="{609B3C4A-E6BC-4680-B794-F6B2D914707C}"/>
    <hyperlink ref="P94" r:id="rId72" xr:uid="{97927554-A6DE-4E89-A17D-52DACBFF4135}"/>
    <hyperlink ref="P93" r:id="rId73" xr:uid="{76315249-FCE6-4E85-A7E3-50E86DC9F559}"/>
    <hyperlink ref="P91" r:id="rId74" xr:uid="{BF2CBFCB-9606-44C3-A80A-09221E7B4D54}"/>
    <hyperlink ref="P92" r:id="rId75" xr:uid="{76F45141-9A20-4770-A074-ED55E581DBDE}"/>
  </hyperlinks>
  <pageMargins left="0.511811024" right="0.511811024" top="0.78740157499999996" bottom="0.78740157499999996" header="0.31496062000000002" footer="0.31496062000000002"/>
  <tableParts count="1">
    <tablePart r:id="rId7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A86D-7E0F-4C06-803B-01FF5FF005D8}">
  <sheetPr>
    <tabColor theme="9" tint="-0.499984740745262"/>
  </sheetPr>
  <dimension ref="A1:N126"/>
  <sheetViews>
    <sheetView showGridLines="0" zoomScaleNormal="100" workbookViewId="0">
      <pane ySplit="1" topLeftCell="A74" activePane="bottomLeft" state="frozen"/>
      <selection pane="bottomLeft" activeCell="A76" sqref="A74:A76"/>
    </sheetView>
  </sheetViews>
  <sheetFormatPr defaultColWidth="8.85546875" defaultRowHeight="15" customHeight="1"/>
  <cols>
    <col min="1" max="1" width="23.5703125" style="1" customWidth="1"/>
    <col min="2" max="2" width="11.140625" style="1" bestFit="1" customWidth="1"/>
    <col min="3" max="3" width="11.140625" style="16" bestFit="1" customWidth="1"/>
    <col min="4" max="4" width="8.7109375" style="72" bestFit="1" customWidth="1"/>
    <col min="5" max="5" width="10.85546875" style="1" bestFit="1" customWidth="1"/>
    <col min="6" max="6" width="28.7109375" style="15" customWidth="1"/>
    <col min="7" max="7" width="11.42578125" style="14" bestFit="1" customWidth="1"/>
    <col min="8" max="8" width="12.28515625" style="1" bestFit="1" customWidth="1"/>
    <col min="9" max="9" width="10.42578125" style="15" bestFit="1" customWidth="1"/>
    <col min="10" max="10" width="11.28515625" style="16" bestFit="1" customWidth="1"/>
    <col min="11" max="11" width="49.85546875" style="15" customWidth="1"/>
    <col min="12" max="12" width="62.42578125" style="15" customWidth="1"/>
    <col min="13" max="13" width="34.85546875" style="1" customWidth="1"/>
    <col min="14" max="14" width="22.7109375" style="1" customWidth="1"/>
    <col min="15" max="16384" width="8.85546875" style="1"/>
  </cols>
  <sheetData>
    <row r="1" spans="1:14">
      <c r="A1" s="4" t="s">
        <v>4</v>
      </c>
      <c r="B1" s="1" t="s">
        <v>370</v>
      </c>
      <c r="C1" s="16" t="s">
        <v>1</v>
      </c>
      <c r="D1" s="72" t="s">
        <v>371</v>
      </c>
      <c r="E1" s="1" t="s">
        <v>372</v>
      </c>
      <c r="F1" s="15" t="s">
        <v>373</v>
      </c>
      <c r="G1" s="14" t="s">
        <v>39</v>
      </c>
      <c r="H1" s="4" t="s">
        <v>374</v>
      </c>
      <c r="I1" s="15" t="s">
        <v>375</v>
      </c>
      <c r="J1" s="16" t="s">
        <v>376</v>
      </c>
      <c r="K1" s="70" t="s">
        <v>377</v>
      </c>
      <c r="L1" s="15" t="s">
        <v>378</v>
      </c>
      <c r="N1" s="2" t="str">
        <f>"Por gentileza, colocar o número do *Pedido "&amp;D1&amp;"* na nota que irá emitir para gente."</f>
        <v>Por gentileza, colocar o número do *Pedido PDDO* na nota que irá emitir para gente.</v>
      </c>
    </row>
    <row r="2" spans="1:14">
      <c r="A2" s="4" t="s">
        <v>69</v>
      </c>
      <c r="B2" s="1" t="s">
        <v>50</v>
      </c>
      <c r="C2" s="16">
        <v>45966</v>
      </c>
      <c r="D2" s="72" t="s">
        <v>379</v>
      </c>
      <c r="E2" s="1" t="str">
        <f>_xlfn.XLOOKUP(F2,UTIL!Q:Q,UTIL!N:N,"-")</f>
        <v>037969440</v>
      </c>
      <c r="F2" s="15" t="s">
        <v>380</v>
      </c>
      <c r="G2" s="14">
        <v>160</v>
      </c>
      <c r="H2" s="4" t="s">
        <v>381</v>
      </c>
      <c r="I2" s="15">
        <v>12604</v>
      </c>
      <c r="J2" s="16">
        <v>45985</v>
      </c>
      <c r="K2" s="71"/>
      <c r="L2" s="15" t="str">
        <f>TEXT($C2,"dd.mm") &amp; " -Ped " &amp; D2 &amp; " -" &amp; F2 &amp; " -R$" &amp; G2 &amp; IF(LEN(TRIM(I2))=0, "", " -NF " &amp; TRIM(I2))</f>
        <v>05.11 -Ped 048043 -MEGA TRUCK ACESSORIOS - MT -R$160 -NF 12604</v>
      </c>
      <c r="N2" s="2" t="str">
        <f>"Por gentileza, colocar o número do *Pedido "&amp;PEDIDOS[[#This Row],[PDDO]]&amp;"* na nota que irá emitir para gente."</f>
        <v>Por gentileza, colocar o número do *Pedido 048043* na nota que irá emitir para gente.</v>
      </c>
    </row>
    <row r="3" spans="1:14">
      <c r="A3" s="4" t="s">
        <v>382</v>
      </c>
      <c r="B3" s="1" t="s">
        <v>49</v>
      </c>
      <c r="C3" s="16">
        <v>45974</v>
      </c>
      <c r="D3" s="72" t="s">
        <v>383</v>
      </c>
      <c r="E3" s="1" t="str">
        <f>_xlfn.XLOOKUP(F3,UTIL!Q:Q,UTIL!N:N,"-")</f>
        <v>019320206</v>
      </c>
      <c r="F3" s="15" t="s">
        <v>384</v>
      </c>
      <c r="G3" s="14">
        <v>1000</v>
      </c>
      <c r="H3" s="4" t="s">
        <v>381</v>
      </c>
      <c r="I3" s="15">
        <v>1996</v>
      </c>
      <c r="J3" s="16">
        <v>45985</v>
      </c>
      <c r="K3" s="71" t="s">
        <v>385</v>
      </c>
      <c r="L3" s="15" t="str">
        <f>TEXT($C3,"dd.mm") &amp; " -Ped " &amp; D3 &amp; " -" &amp; F3 &amp; " -R$" &amp; G3 &amp; IF(LEN(TRIM(I3))=0, "", " -NF " &amp; TRIM(I3))</f>
        <v>13.11 -Ped 047572 -AGROMAQ -TR MAQ -R$1000 -NF 1996</v>
      </c>
      <c r="N3" s="2" t="str">
        <f>"Por gentileza, colocar o número do *Pedido "&amp;PEDIDOS[[#This Row],[PDDO]]&amp;"* na nota que irá emitir para gente."</f>
        <v>Por gentileza, colocar o número do *Pedido 047572* na nota que irá emitir para gente.</v>
      </c>
    </row>
    <row r="4" spans="1:14">
      <c r="A4" s="4" t="s">
        <v>386</v>
      </c>
      <c r="B4" s="1" t="s">
        <v>49</v>
      </c>
      <c r="C4" s="16">
        <v>45975</v>
      </c>
      <c r="D4" s="72" t="s">
        <v>387</v>
      </c>
      <c r="E4" s="1" t="str">
        <f>_xlfn.XLOOKUP(F4,UTIL!Q:Q,UTIL!N:N,"-")</f>
        <v>019320206</v>
      </c>
      <c r="F4" s="15" t="s">
        <v>384</v>
      </c>
      <c r="G4" s="14">
        <v>800</v>
      </c>
      <c r="H4" s="4" t="s">
        <v>381</v>
      </c>
      <c r="I4" s="15">
        <v>1999</v>
      </c>
      <c r="J4" s="16">
        <v>45985</v>
      </c>
      <c r="K4" s="71"/>
      <c r="L4" s="15" t="str">
        <f>TEXT($C4,"dd.mm") &amp; " -Ped " &amp; D4 &amp; " -" &amp; F4 &amp; " -R$" &amp; G4 &amp; IF(LEN(TRIM(I4))=0, "", " -NF " &amp; TRIM(I4))</f>
        <v>14.11 -Ped 047752 -AGROMAQ -TR MAQ -R$800 -NF 1999</v>
      </c>
      <c r="N4" s="2" t="str">
        <f>"Por gentileza, colocar o número do *Pedido "&amp;PEDIDOS[[#This Row],[PDDO]]&amp;"* na nota que irá emitir para gente."</f>
        <v>Por gentileza, colocar o número do *Pedido 047752* na nota que irá emitir para gente.</v>
      </c>
    </row>
    <row r="5" spans="1:14">
      <c r="A5" s="4" t="s">
        <v>386</v>
      </c>
      <c r="B5" s="1" t="s">
        <v>49</v>
      </c>
      <c r="C5" s="16">
        <v>45975</v>
      </c>
      <c r="D5" s="72" t="s">
        <v>388</v>
      </c>
      <c r="E5" s="1" t="str">
        <f>_xlfn.XLOOKUP(F5,UTIL!Q:Q,UTIL!N:N,"-")</f>
        <v>061259226</v>
      </c>
      <c r="F5" s="15" t="s">
        <v>389</v>
      </c>
      <c r="G5" s="14">
        <v>6740</v>
      </c>
      <c r="H5" s="4" t="s">
        <v>381</v>
      </c>
      <c r="I5" s="15">
        <v>29</v>
      </c>
      <c r="J5" s="16">
        <v>45985</v>
      </c>
      <c r="K5" s="71" t="s">
        <v>390</v>
      </c>
      <c r="L5" s="15" t="str">
        <f>TEXT($C5,"dd.mm") &amp; " -Ped " &amp; D5 &amp; " -" &amp; F5 &amp; " -R$" &amp; G5 &amp; IF(LEN(TRIM(I5))=0, "", " -NF " &amp; TRIM(I5))</f>
        <v>14.11 -Ped 047872 -JAPA MARRERO -TR MAQ -R$6740 -NF 29</v>
      </c>
      <c r="N5" s="2" t="str">
        <f>"Por gentileza, colocar o número do *Pedido "&amp;PEDIDOS[[#This Row],[PDDO]]&amp;"* na nota que irá emitir para gente."</f>
        <v>Por gentileza, colocar o número do *Pedido 047872* na nota que irá emitir para gente.</v>
      </c>
    </row>
    <row r="6" spans="1:14">
      <c r="A6" s="4" t="s">
        <v>391</v>
      </c>
      <c r="B6" s="1" t="s">
        <v>49</v>
      </c>
      <c r="C6" s="16">
        <v>45975</v>
      </c>
      <c r="D6" s="72" t="s">
        <v>387</v>
      </c>
      <c r="E6" s="1" t="str">
        <f>_xlfn.XLOOKUP(F6,UTIL!Q:Q,UTIL!N:N,"-")</f>
        <v>019320206</v>
      </c>
      <c r="F6" s="15" t="s">
        <v>384</v>
      </c>
      <c r="G6" s="14">
        <v>400</v>
      </c>
      <c r="H6" s="4" t="s">
        <v>381</v>
      </c>
      <c r="I6" s="15">
        <v>1999</v>
      </c>
      <c r="J6" s="16">
        <v>45985</v>
      </c>
      <c r="K6" s="71"/>
      <c r="L6" s="15" t="str">
        <f>TEXT($C6,"dd.mm") &amp; " -Ped " &amp; D6 &amp; " -" &amp; F6 &amp; " -R$" &amp; G6 &amp; IF(LEN(TRIM(I6))=0, "", " -NF " &amp; TRIM(I6))</f>
        <v>14.11 -Ped 047752 -AGROMAQ -TR MAQ -R$400 -NF 1999</v>
      </c>
      <c r="N6" s="2" t="str">
        <f>"Por gentileza, colocar o número do *Pedido "&amp;PEDIDOS[[#This Row],[PDDO]]&amp;"* na nota que irá emitir para gente."</f>
        <v>Por gentileza, colocar o número do *Pedido 047752* na nota que irá emitir para gente.</v>
      </c>
    </row>
    <row r="7" spans="1:14">
      <c r="A7" s="4" t="s">
        <v>382</v>
      </c>
      <c r="B7" s="1" t="s">
        <v>49</v>
      </c>
      <c r="C7" s="16">
        <v>45978</v>
      </c>
      <c r="D7" s="72" t="s">
        <v>388</v>
      </c>
      <c r="E7" s="1" t="str">
        <f>_xlfn.XLOOKUP(F7,UTIL!Q:Q,UTIL!N:N,"-")</f>
        <v>061259226</v>
      </c>
      <c r="F7" s="15" t="s">
        <v>389</v>
      </c>
      <c r="G7" s="14">
        <v>1328</v>
      </c>
      <c r="H7" s="4" t="s">
        <v>381</v>
      </c>
      <c r="I7" s="15">
        <v>27</v>
      </c>
      <c r="J7" s="16">
        <v>45985</v>
      </c>
      <c r="K7" s="71" t="s">
        <v>392</v>
      </c>
      <c r="L7" s="15" t="str">
        <f>TEXT($C7,"dd.mm") &amp; " -Ped " &amp; D7 &amp; " -" &amp; F7 &amp; " -R$" &amp; G7 &amp; IF(LEN(TRIM(I7))=0, "", " -NF " &amp; TRIM(I7))</f>
        <v>17.11 -Ped 047872 -JAPA MARRERO -TR MAQ -R$1328 -NF 27</v>
      </c>
      <c r="N7" s="2" t="str">
        <f>"Por gentileza, colocar o número do *Pedido "&amp;PEDIDOS[[#This Row],[PDDO]]&amp;"* na nota que irá emitir para gente."</f>
        <v>Por gentileza, colocar o número do *Pedido 047872* na nota que irá emitir para gente.</v>
      </c>
    </row>
    <row r="8" spans="1:14">
      <c r="A8" s="4" t="s">
        <v>5</v>
      </c>
      <c r="B8" s="1" t="s">
        <v>49</v>
      </c>
      <c r="C8" s="16">
        <v>45978</v>
      </c>
      <c r="D8" s="72" t="s">
        <v>393</v>
      </c>
      <c r="E8" s="1" t="str">
        <f>_xlfn.XLOOKUP(F8,UTIL!Q:Q,UTIL!N:N,"-")</f>
        <v>033254429</v>
      </c>
      <c r="F8" s="15" t="s">
        <v>394</v>
      </c>
      <c r="G8" s="14">
        <v>945</v>
      </c>
      <c r="H8" s="4" t="s">
        <v>381</v>
      </c>
      <c r="I8" s="15">
        <v>81</v>
      </c>
      <c r="J8" s="16">
        <v>45985</v>
      </c>
      <c r="K8" s="71" t="s">
        <v>395</v>
      </c>
      <c r="L8" s="15" t="str">
        <f>TEXT($C8,"dd.mm") &amp; " -Ped " &amp; D8 &amp; " -" &amp; F8 &amp; " -R$" &amp; G8 &amp; IF(LEN(TRIM(I8))=0, "", " -NF " &amp; TRIM(I8))</f>
        <v>17.11 -Ped 047873 -MULTISOLDAS E MUNCK -R$945 -NF 81</v>
      </c>
      <c r="N8" s="2" t="str">
        <f>"Por gentileza, colocar o número do *Pedido "&amp;PEDIDOS[[#This Row],[PDDO]]&amp;"* na nota que irá emitir para gente."</f>
        <v>Por gentileza, colocar o número do *Pedido 047873* na nota que irá emitir para gente.</v>
      </c>
    </row>
    <row r="9" spans="1:14">
      <c r="A9" s="4" t="s">
        <v>396</v>
      </c>
      <c r="B9" s="1" t="s">
        <v>49</v>
      </c>
      <c r="C9" s="16">
        <v>45979</v>
      </c>
      <c r="D9" s="72" t="s">
        <v>397</v>
      </c>
      <c r="E9" s="1" t="str">
        <f>_xlfn.XLOOKUP(F9,UTIL!Q:Q,UTIL!N:N,"-")</f>
        <v>019320206</v>
      </c>
      <c r="F9" s="15" t="s">
        <v>384</v>
      </c>
      <c r="G9" s="14">
        <v>2000</v>
      </c>
      <c r="H9" s="4" t="s">
        <v>381</v>
      </c>
      <c r="I9" s="15">
        <v>1998</v>
      </c>
      <c r="J9" s="16">
        <v>45985</v>
      </c>
      <c r="K9" s="71"/>
      <c r="L9" s="15" t="str">
        <f>TEXT($C9,"dd.mm") &amp; " -Ped " &amp; D9 &amp; " -" &amp; F9 &amp; " -R$" &amp; G9 &amp; IF(LEN(TRIM(I9))=0, "", " -NF " &amp; TRIM(I9))</f>
        <v>18.11 -Ped 047897 -AGROMAQ -TR MAQ -R$2000 -NF 1998</v>
      </c>
      <c r="N9" s="2" t="str">
        <f>"Por gentileza, colocar o número do *Pedido "&amp;PEDIDOS[[#This Row],[PDDO]]&amp;"* na nota que irá emitir para gente."</f>
        <v>Por gentileza, colocar o número do *Pedido 047897* na nota que irá emitir para gente.</v>
      </c>
    </row>
    <row r="10" spans="1:14">
      <c r="A10" s="4" t="s">
        <v>5</v>
      </c>
      <c r="B10" s="1" t="s">
        <v>49</v>
      </c>
      <c r="C10" s="16">
        <v>45979</v>
      </c>
      <c r="D10" s="72" t="s">
        <v>398</v>
      </c>
      <c r="E10" s="1" t="str">
        <f>_xlfn.XLOOKUP(F10,UTIL!Q:Q,UTIL!N:N,"-")</f>
        <v>006914002</v>
      </c>
      <c r="F10" s="15" t="s">
        <v>399</v>
      </c>
      <c r="G10" s="14">
        <v>650</v>
      </c>
      <c r="H10" s="4" t="s">
        <v>381</v>
      </c>
      <c r="I10" s="15">
        <v>193</v>
      </c>
      <c r="J10" s="16">
        <v>45985</v>
      </c>
      <c r="K10" s="71" t="s">
        <v>400</v>
      </c>
      <c r="L10" s="15" t="str">
        <f>TEXT($C10,"dd.mm") &amp; " -Ped " &amp; D10 &amp; " -" &amp; F10 &amp; " -R$" &amp; G10 &amp; IF(LEN(TRIM(I10))=0, "", " -NF " &amp; TRIM(I10))</f>
        <v>18.11 -Ped 047929 -TRANSCAPITINGA-TR MAQ -R$650 -NF 193</v>
      </c>
      <c r="N10" s="2" t="str">
        <f>"Por gentileza, colocar o número do *Pedido "&amp;PEDIDOS[[#This Row],[PDDO]]&amp;"* na nota que irá emitir para gente."</f>
        <v>Por gentileza, colocar o número do *Pedido 047929* na nota que irá emitir para gente.</v>
      </c>
    </row>
    <row r="11" spans="1:14">
      <c r="A11" s="4" t="s">
        <v>386</v>
      </c>
      <c r="B11" s="1" t="s">
        <v>60</v>
      </c>
      <c r="C11" s="16">
        <v>45980</v>
      </c>
      <c r="D11" s="72" t="s">
        <v>401</v>
      </c>
      <c r="E11" s="1" t="str">
        <f>_xlfn.XLOOKUP(F11,UTIL!Q:Q,UTIL!N:N,"-")</f>
        <v>018725298</v>
      </c>
      <c r="F11" s="15" t="s">
        <v>402</v>
      </c>
      <c r="G11" s="14">
        <v>1373</v>
      </c>
      <c r="H11" s="4" t="s">
        <v>381</v>
      </c>
      <c r="I11" s="15">
        <v>1072</v>
      </c>
      <c r="J11" s="16">
        <v>45985</v>
      </c>
      <c r="K11" s="71" t="s">
        <v>403</v>
      </c>
      <c r="L11" s="15" t="str">
        <f>TEXT($C11,"dd.mm") &amp; " -Ped " &amp; D11 &amp; " -" &amp; F11 &amp; " -R$" &amp; G11 &amp; IF(LEN(TRIM(I11))=0, "", " -NF " &amp; TRIM(I11))</f>
        <v>19.11 -Ped 047933 -MAZETTO -TR MAQ -R$1373 -NF 1072</v>
      </c>
      <c r="N11" s="2" t="str">
        <f>"Por gentileza, colocar o número do *Pedido "&amp;PEDIDOS[[#This Row],[PDDO]]&amp;"* na nota que irá emitir para gente."</f>
        <v>Por gentileza, colocar o número do *Pedido 047933* na nota que irá emitir para gente.</v>
      </c>
    </row>
    <row r="12" spans="1:14">
      <c r="A12" s="4" t="s">
        <v>382</v>
      </c>
      <c r="B12" s="1" t="s">
        <v>60</v>
      </c>
      <c r="C12" s="16">
        <v>45980</v>
      </c>
      <c r="D12" s="72" t="s">
        <v>401</v>
      </c>
      <c r="E12" s="1" t="str">
        <f>_xlfn.XLOOKUP(F12,UTIL!Q:Q,UTIL!N:N,"-")</f>
        <v>018725298</v>
      </c>
      <c r="F12" s="15" t="s">
        <v>402</v>
      </c>
      <c r="G12" s="14">
        <v>1753</v>
      </c>
      <c r="H12" s="4" t="s">
        <v>381</v>
      </c>
      <c r="I12" s="15">
        <v>1071</v>
      </c>
      <c r="J12" s="16">
        <v>45985</v>
      </c>
      <c r="K12" s="71" t="s">
        <v>404</v>
      </c>
      <c r="L12" s="15" t="str">
        <f>TEXT($C12,"dd.mm") &amp; " -Ped " &amp; D12 &amp; " -" &amp; F12 &amp; " -R$" &amp; G12 &amp; IF(LEN(TRIM(I12))=0, "", " -NF " &amp; TRIM(I12))</f>
        <v>19.11 -Ped 047933 -MAZETTO -TR MAQ -R$1753 -NF 1071</v>
      </c>
      <c r="N12" s="2" t="str">
        <f>"Por gentileza, colocar o número do *Pedido "&amp;PEDIDOS[[#This Row],[PDDO]]&amp;"* na nota que irá emitir para gente."</f>
        <v>Por gentileza, colocar o número do *Pedido 047933* na nota que irá emitir para gente.</v>
      </c>
    </row>
    <row r="13" spans="1:14">
      <c r="A13" s="4" t="s">
        <v>382</v>
      </c>
      <c r="B13" s="1" t="s">
        <v>60</v>
      </c>
      <c r="C13" s="16">
        <v>45980</v>
      </c>
      <c r="D13" s="72" t="s">
        <v>401</v>
      </c>
      <c r="E13" s="1" t="str">
        <f>_xlfn.XLOOKUP(F13,UTIL!Q:Q,UTIL!N:N,"-")</f>
        <v>018725298</v>
      </c>
      <c r="F13" s="15" t="s">
        <v>402</v>
      </c>
      <c r="G13" s="14">
        <v>1196</v>
      </c>
      <c r="H13" s="4" t="s">
        <v>381</v>
      </c>
      <c r="I13" s="15">
        <v>470</v>
      </c>
      <c r="J13" s="16">
        <v>45985</v>
      </c>
      <c r="K13" s="71" t="s">
        <v>405</v>
      </c>
      <c r="L13" s="15" t="str">
        <f>TEXT($C13,"dd.mm") &amp; " -Ped " &amp; D13 &amp; " -" &amp; F13 &amp; " -R$" &amp; G13 &amp; IF(LEN(TRIM(I13))=0, "", " -NF " &amp; TRIM(I13))</f>
        <v>19.11 -Ped 047933 -MAZETTO -TR MAQ -R$1196 -NF 470</v>
      </c>
      <c r="N13" s="2" t="str">
        <f>"Por gentileza, colocar o número do *Pedido "&amp;PEDIDOS[[#This Row],[PDDO]]&amp;"* na nota que irá emitir para gente."</f>
        <v>Por gentileza, colocar o número do *Pedido 047933* na nota que irá emitir para gente.</v>
      </c>
    </row>
    <row r="14" spans="1:14">
      <c r="A14" s="4" t="s">
        <v>382</v>
      </c>
      <c r="B14" s="1" t="s">
        <v>49</v>
      </c>
      <c r="C14" s="16">
        <v>45982</v>
      </c>
      <c r="D14" s="72" t="s">
        <v>406</v>
      </c>
      <c r="E14" s="1" t="str">
        <f>_xlfn.XLOOKUP(F14,UTIL!Q:Q,UTIL!N:N,"-")</f>
        <v>019320206</v>
      </c>
      <c r="F14" s="15" t="s">
        <v>384</v>
      </c>
      <c r="G14" s="14">
        <v>1624</v>
      </c>
      <c r="H14" s="4" t="s">
        <v>407</v>
      </c>
      <c r="I14" s="15">
        <v>2003</v>
      </c>
      <c r="J14" s="16">
        <v>45985</v>
      </c>
      <c r="K14" s="71" t="s">
        <v>408</v>
      </c>
      <c r="L14" s="15" t="str">
        <f>TEXT($C14,"dd.mm") &amp; " -Ped " &amp; D14 &amp; " -" &amp; F14 &amp; " -R$" &amp; G14 &amp; IF(LEN(TRIM(I14))=0, "", " -NF " &amp; TRIM(I14))</f>
        <v>21.11 -Ped 048040 -AGROMAQ -TR MAQ -R$1624 -NF 2003</v>
      </c>
      <c r="N14" s="2" t="str">
        <f>"Por gentileza, colocar o número do *Pedido "&amp;PEDIDOS[[#This Row],[PDDO]]&amp;"* na nota que irá emitir para gente."</f>
        <v>Por gentileza, colocar o número do *Pedido 048040* na nota que irá emitir para gente.</v>
      </c>
    </row>
    <row r="15" spans="1:14">
      <c r="A15" s="4" t="s">
        <v>409</v>
      </c>
      <c r="B15" s="1" t="s">
        <v>60</v>
      </c>
      <c r="C15" s="16">
        <v>45978</v>
      </c>
      <c r="D15" s="72" t="s">
        <v>410</v>
      </c>
      <c r="E15" s="1" t="str">
        <f>_xlfn.XLOOKUP(F15,UTIL!Q:Q,UTIL!N:N,"-")</f>
        <v>006233947</v>
      </c>
      <c r="F15" s="15" t="s">
        <v>411</v>
      </c>
      <c r="G15" s="14">
        <v>9600</v>
      </c>
      <c r="H15" s="4" t="s">
        <v>381</v>
      </c>
      <c r="I15" s="15">
        <v>3626</v>
      </c>
      <c r="J15" s="16">
        <v>45980</v>
      </c>
      <c r="K15" s="71"/>
      <c r="L15" s="15" t="str">
        <f>TEXT($C15,"dd.mm") &amp; " -Ped " &amp; D15 &amp; " -" &amp; F15 &amp; " -R$" &amp; G15 &amp; IF(LEN(TRIM(I15))=0, "", " -NF " &amp; TRIM(I15))</f>
        <v>17.11 -Ped 047803 -LUG -TR MAQ -R$9600 -NF 3626</v>
      </c>
      <c r="N15" s="2" t="str">
        <f>"Por gentileza, colocar o número do *Pedido "&amp;PEDIDOS[[#This Row],[PDDO]]&amp;"* na nota que irá emitir para gente."</f>
        <v>Por gentileza, colocar o número do *Pedido 047803* na nota que irá emitir para gente.</v>
      </c>
    </row>
    <row r="16" spans="1:14">
      <c r="A16" s="4" t="s">
        <v>7</v>
      </c>
      <c r="B16" s="1" t="s">
        <v>58</v>
      </c>
      <c r="C16" s="16">
        <v>45955</v>
      </c>
      <c r="D16" s="72" t="s">
        <v>412</v>
      </c>
      <c r="E16" s="1" t="str">
        <f>_xlfn.XLOOKUP(F16,UTIL!Q:Q,UTIL!N:N,"-")</f>
        <v>012154080</v>
      </c>
      <c r="F16" s="15" t="s">
        <v>75</v>
      </c>
      <c r="G16" s="14">
        <v>52</v>
      </c>
      <c r="H16" s="4" t="s">
        <v>381</v>
      </c>
      <c r="I16" s="15">
        <v>230365</v>
      </c>
      <c r="J16" s="16">
        <v>45979</v>
      </c>
      <c r="K16" s="71" t="s">
        <v>413</v>
      </c>
      <c r="L16" s="15" t="str">
        <f>TEXT($C16,"dd.mm") &amp; " -Ped " &amp; D16 &amp; " -" &amp; F16 &amp; " -R$" &amp; G16 &amp; IF(LEN(TRIM(I16))=0, "", " -NF " &amp; TRIM(I16))</f>
        <v>25.10 -Ped 047889 -TX LOG -TR PEÇA -R$52 -NF 230365</v>
      </c>
      <c r="N16" s="2" t="str">
        <f>"Por gentileza, colocar o número do *Pedido "&amp;PEDIDOS[[#This Row],[PDDO]]&amp;"* na nota que irá emitir para gente."</f>
        <v>Por gentileza, colocar o número do *Pedido 047889* na nota que irá emitir para gente.</v>
      </c>
    </row>
    <row r="17" spans="1:14">
      <c r="A17" s="4" t="s">
        <v>7</v>
      </c>
      <c r="B17" s="1" t="s">
        <v>73</v>
      </c>
      <c r="C17" s="16">
        <v>45958</v>
      </c>
      <c r="D17" s="72" t="s">
        <v>414</v>
      </c>
      <c r="E17" s="1" t="str">
        <f>_xlfn.XLOOKUP(F17,UTIL!Q:Q,UTIL!N:N,"-")</f>
        <v>012154080</v>
      </c>
      <c r="F17" s="15" t="s">
        <v>75</v>
      </c>
      <c r="G17" s="14">
        <v>52</v>
      </c>
      <c r="H17" s="4" t="s">
        <v>381</v>
      </c>
      <c r="I17" s="15">
        <v>230691</v>
      </c>
      <c r="J17" s="16">
        <v>45979</v>
      </c>
      <c r="K17" s="71" t="s">
        <v>415</v>
      </c>
      <c r="L17" s="15" t="str">
        <f>TEXT($C17,"dd.mm") &amp; " -Ped " &amp; D17 &amp; " -" &amp; F17 &amp; " -R$" &amp; G17 &amp; IF(LEN(TRIM(I17))=0, "", " -NF " &amp; TRIM(I17))</f>
        <v>28.10 -Ped 047900 -TX LOG -TR PEÇA -R$52 -NF 230691</v>
      </c>
      <c r="N17" s="2" t="str">
        <f>"Por gentileza, colocar o número do *Pedido "&amp;PEDIDOS[[#This Row],[PDDO]]&amp;"* na nota que irá emitir para gente."</f>
        <v>Por gentileza, colocar o número do *Pedido 047900* na nota que irá emitir para gente.</v>
      </c>
    </row>
    <row r="18" spans="1:14">
      <c r="A18" s="4" t="s">
        <v>7</v>
      </c>
      <c r="B18" s="16" t="s">
        <v>60</v>
      </c>
      <c r="C18" s="16">
        <v>45962</v>
      </c>
      <c r="D18" s="72" t="s">
        <v>416</v>
      </c>
      <c r="E18" s="1" t="str">
        <f>_xlfn.XLOOKUP(F18,UTIL!Q:Q,UTIL!N:N,"-")</f>
        <v>012154080</v>
      </c>
      <c r="F18" s="15" t="s">
        <v>75</v>
      </c>
      <c r="G18" s="14">
        <v>52</v>
      </c>
      <c r="H18" s="4" t="s">
        <v>381</v>
      </c>
      <c r="I18" s="15">
        <v>231628</v>
      </c>
      <c r="J18" s="16">
        <v>45979</v>
      </c>
      <c r="K18" s="71" t="s">
        <v>415</v>
      </c>
      <c r="L18" s="15" t="str">
        <f>TEXT($C18,"dd.mm") &amp; " -Ped " &amp; D18 &amp; " -" &amp; F18 &amp; " -R$" &amp; G18 &amp; IF(LEN(TRIM(I18))=0, "", " -NF " &amp; TRIM(I18))</f>
        <v>01.11 -Ped 047901 -TX LOG -TR PEÇA -R$52 -NF 231628</v>
      </c>
      <c r="N18" s="2" t="str">
        <f>"Por gentileza, colocar o número do *Pedido "&amp;PEDIDOS[[#This Row],[PDDO]]&amp;"* na nota que irá emitir para gente."</f>
        <v>Por gentileza, colocar o número do *Pedido 047901* na nota que irá emitir para gente.</v>
      </c>
    </row>
    <row r="19" spans="1:14">
      <c r="A19" s="4" t="s">
        <v>386</v>
      </c>
      <c r="B19" s="1" t="s">
        <v>60</v>
      </c>
      <c r="C19" s="16">
        <v>45964</v>
      </c>
      <c r="D19" s="72" t="s">
        <v>417</v>
      </c>
      <c r="E19" s="1" t="str">
        <f>_xlfn.XLOOKUP(F19,UTIL!Q:Q,UTIL!N:N,"-")</f>
        <v>018725298</v>
      </c>
      <c r="F19" s="15" t="s">
        <v>402</v>
      </c>
      <c r="G19" s="14">
        <v>650</v>
      </c>
      <c r="H19" s="4" t="s">
        <v>381</v>
      </c>
      <c r="I19" s="15">
        <v>1068</v>
      </c>
      <c r="J19" s="16">
        <v>45979</v>
      </c>
      <c r="K19" s="71" t="s">
        <v>418</v>
      </c>
      <c r="L19" s="15" t="str">
        <f>TEXT($C19,"dd.mm") &amp; " -Ped " &amp; D19 &amp; " -" &amp; F19 &amp; " -R$" &amp; G19 &amp; IF(LEN(TRIM(I19))=0, "", " -NF " &amp; TRIM(I19))</f>
        <v>03.11 -Ped 047805 -MAZETTO -TR MAQ -R$650 -NF 1068</v>
      </c>
      <c r="N19" s="2" t="str">
        <f>"Por gentileza, colocar o número do *Pedido "&amp;PEDIDOS[[#This Row],[PDDO]]&amp;"* na nota que irá emitir para gente."</f>
        <v>Por gentileza, colocar o número do *Pedido 047805* na nota que irá emitir para gente.</v>
      </c>
    </row>
    <row r="20" spans="1:14">
      <c r="A20" s="4" t="s">
        <v>391</v>
      </c>
      <c r="B20" s="1" t="s">
        <v>60</v>
      </c>
      <c r="C20" s="16">
        <v>45964</v>
      </c>
      <c r="D20" s="72" t="s">
        <v>417</v>
      </c>
      <c r="E20" s="1" t="str">
        <f>_xlfn.XLOOKUP(F20,UTIL!Q:Q,UTIL!N:N,"-")</f>
        <v>018725298</v>
      </c>
      <c r="F20" s="15" t="s">
        <v>402</v>
      </c>
      <c r="G20" s="14">
        <v>650</v>
      </c>
      <c r="H20" s="4" t="s">
        <v>381</v>
      </c>
      <c r="I20" s="15">
        <v>1068</v>
      </c>
      <c r="J20" s="16">
        <v>45979</v>
      </c>
      <c r="K20" s="71" t="s">
        <v>419</v>
      </c>
      <c r="L20" s="15" t="str">
        <f>TEXT($C20,"dd.mm") &amp; " -Ped " &amp; D20 &amp; " -" &amp; F20 &amp; " -R$" &amp; G20 &amp; IF(LEN(TRIM(I20))=0, "", " -NF " &amp; TRIM(I20))</f>
        <v>03.11 -Ped 047805 -MAZETTO -TR MAQ -R$650 -NF 1068</v>
      </c>
      <c r="N20" s="2" t="str">
        <f>"Por gentileza, colocar o número do *Pedido "&amp;PEDIDOS[[#This Row],[PDDO]]&amp;"* na nota que irá emitir para gente."</f>
        <v>Por gentileza, colocar o número do *Pedido 047805* na nota que irá emitir para gente.</v>
      </c>
    </row>
    <row r="21" spans="1:14">
      <c r="A21" s="4" t="s">
        <v>382</v>
      </c>
      <c r="B21" s="1" t="s">
        <v>60</v>
      </c>
      <c r="C21" s="16">
        <v>45964</v>
      </c>
      <c r="D21" s="72" t="s">
        <v>417</v>
      </c>
      <c r="E21" s="1" t="str">
        <f>_xlfn.XLOOKUP(F21,UTIL!Q:Q,UTIL!N:N,"-")</f>
        <v>018725298</v>
      </c>
      <c r="F21" s="15" t="s">
        <v>402</v>
      </c>
      <c r="G21" s="14">
        <v>1352</v>
      </c>
      <c r="H21" s="4" t="s">
        <v>381</v>
      </c>
      <c r="I21" s="15">
        <v>1069</v>
      </c>
      <c r="J21" s="16">
        <v>45979</v>
      </c>
      <c r="K21" s="71" t="s">
        <v>420</v>
      </c>
      <c r="L21" s="15" t="str">
        <f>TEXT($C21,"dd.mm") &amp; " -Ped " &amp; D21 &amp; " -" &amp; F21 &amp; " -R$" &amp; G21 &amp; IF(LEN(TRIM(I21))=0, "", " -NF " &amp; TRIM(I21))</f>
        <v>03.11 -Ped 047805 -MAZETTO -TR MAQ -R$1352 -NF 1069</v>
      </c>
      <c r="N21" s="2" t="str">
        <f>"Por gentileza, colocar o número do *Pedido "&amp;PEDIDOS[[#This Row],[PDDO]]&amp;"* na nota que irá emitir para gente."</f>
        <v>Por gentileza, colocar o número do *Pedido 047805* na nota que irá emitir para gente.</v>
      </c>
    </row>
    <row r="22" spans="1:14">
      <c r="A22" s="4" t="s">
        <v>7</v>
      </c>
      <c r="B22" s="16" t="s">
        <v>60</v>
      </c>
      <c r="C22" s="16">
        <v>45965</v>
      </c>
      <c r="D22" s="72" t="s">
        <v>416</v>
      </c>
      <c r="E22" s="1" t="str">
        <f>_xlfn.XLOOKUP(F22,UTIL!Q:Q,UTIL!N:N,"-")</f>
        <v>012154080</v>
      </c>
      <c r="F22" s="15" t="s">
        <v>75</v>
      </c>
      <c r="G22" s="14">
        <v>52</v>
      </c>
      <c r="H22" s="4" t="s">
        <v>381</v>
      </c>
      <c r="I22" s="15">
        <v>231958</v>
      </c>
      <c r="J22" s="16">
        <v>45979</v>
      </c>
      <c r="K22" s="71" t="s">
        <v>415</v>
      </c>
      <c r="L22" s="15" t="str">
        <f>TEXT($C22,"dd.mm") &amp; " -Ped " &amp; D22 &amp; " -" &amp; F22 &amp; " -R$" &amp; G22 &amp; IF(LEN(TRIM(I22))=0, "", " -NF " &amp; TRIM(I22))</f>
        <v>04.11 -Ped 047901 -TX LOG -TR PEÇA -R$52 -NF 231958</v>
      </c>
      <c r="N22" s="2" t="str">
        <f>"Por gentileza, colocar o número do *Pedido "&amp;PEDIDOS[[#This Row],[PDDO]]&amp;"* na nota que irá emitir para gente."</f>
        <v>Por gentileza, colocar o número do *Pedido 047901* na nota que irá emitir para gente.</v>
      </c>
    </row>
    <row r="23" spans="1:14">
      <c r="A23" s="4" t="s">
        <v>382</v>
      </c>
      <c r="B23" s="1" t="s">
        <v>60</v>
      </c>
      <c r="C23" s="16">
        <v>45966</v>
      </c>
      <c r="D23" s="72" t="s">
        <v>417</v>
      </c>
      <c r="E23" s="1" t="str">
        <f>_xlfn.XLOOKUP(F23,UTIL!Q:Q,UTIL!N:N,"-")</f>
        <v>018725298</v>
      </c>
      <c r="F23" s="15" t="s">
        <v>402</v>
      </c>
      <c r="G23" s="14">
        <v>1458</v>
      </c>
      <c r="H23" s="4" t="s">
        <v>381</v>
      </c>
      <c r="I23" s="15">
        <v>1067</v>
      </c>
      <c r="J23" s="16">
        <v>45979</v>
      </c>
      <c r="K23" s="71" t="s">
        <v>421</v>
      </c>
      <c r="L23" s="15" t="str">
        <f>TEXT($C23,"dd.mm") &amp; " -Ped " &amp; D23 &amp; " -" &amp; F23 &amp; " -R$" &amp; G23 &amp; IF(LEN(TRIM(I23))=0, "", " -NF " &amp; TRIM(I23))</f>
        <v>05.11 -Ped 047805 -MAZETTO -TR MAQ -R$1458 -NF 1067</v>
      </c>
      <c r="N23" s="2" t="str">
        <f>"Por gentileza, colocar o número do *Pedido "&amp;PEDIDOS[[#This Row],[PDDO]]&amp;"* na nota que irá emitir para gente."</f>
        <v>Por gentileza, colocar o número do *Pedido 047805* na nota que irá emitir para gente.</v>
      </c>
    </row>
    <row r="24" spans="1:14">
      <c r="A24" s="4" t="s">
        <v>7</v>
      </c>
      <c r="B24" s="16" t="s">
        <v>60</v>
      </c>
      <c r="C24" s="16">
        <v>45966</v>
      </c>
      <c r="D24" s="72" t="s">
        <v>416</v>
      </c>
      <c r="E24" s="1" t="str">
        <f>_xlfn.XLOOKUP(F24,UTIL!Q:Q,UTIL!N:N,"-")</f>
        <v>012154080</v>
      </c>
      <c r="F24" s="15" t="s">
        <v>75</v>
      </c>
      <c r="G24" s="14">
        <v>119.8</v>
      </c>
      <c r="H24" s="4" t="s">
        <v>381</v>
      </c>
      <c r="I24" s="15">
        <v>232215</v>
      </c>
      <c r="J24" s="16">
        <v>45979</v>
      </c>
      <c r="K24" s="71" t="s">
        <v>415</v>
      </c>
      <c r="L24" s="15" t="str">
        <f>TEXT($C24,"dd.mm") &amp; " -Ped " &amp; D24 &amp; " -" &amp; F24 &amp; " -R$" &amp; G24 &amp; IF(LEN(TRIM(I24))=0, "", " -NF " &amp; TRIM(I24))</f>
        <v>05.11 -Ped 047901 -TX LOG -TR PEÇA -R$119,8 -NF 232215</v>
      </c>
      <c r="N24" s="2" t="str">
        <f>"Por gentileza, colocar o número do *Pedido "&amp;PEDIDOS[[#This Row],[PDDO]]&amp;"* na nota que irá emitir para gente."</f>
        <v>Por gentileza, colocar o número do *Pedido 047901* na nota que irá emitir para gente.</v>
      </c>
    </row>
    <row r="25" spans="1:14">
      <c r="A25" s="4" t="s">
        <v>382</v>
      </c>
      <c r="B25" s="1" t="s">
        <v>422</v>
      </c>
      <c r="C25" s="16">
        <v>45968</v>
      </c>
      <c r="D25" s="72" t="s">
        <v>423</v>
      </c>
      <c r="E25" s="1" t="str">
        <f>_xlfn.XLOOKUP(F25,UTIL!Q:Q,UTIL!N:N,"-")</f>
        <v>018725298</v>
      </c>
      <c r="F25" s="15" t="s">
        <v>402</v>
      </c>
      <c r="G25" s="14">
        <v>2890</v>
      </c>
      <c r="H25" s="4" t="s">
        <v>381</v>
      </c>
      <c r="I25" s="15">
        <v>1070</v>
      </c>
      <c r="J25" s="16">
        <v>45979</v>
      </c>
      <c r="K25" s="71" t="s">
        <v>424</v>
      </c>
      <c r="L25" s="15" t="str">
        <f>TEXT($C25,"dd.mm") &amp; " -Ped " &amp; D25 &amp; " -" &amp; F25 &amp; " -R$" &amp; G25 &amp; IF(LEN(TRIM(I25))=0, "", " -NF " &amp; TRIM(I25))</f>
        <v>07.11 -Ped 047935 -MAZETTO -TR MAQ -R$2890 -NF 1070</v>
      </c>
      <c r="N25" s="2" t="str">
        <f>"Por gentileza, colocar o número do *Pedido "&amp;PEDIDOS[[#This Row],[PDDO]]&amp;"* na nota que irá emitir para gente."</f>
        <v>Por gentileza, colocar o número do *Pedido 047935* na nota que irá emitir para gente.</v>
      </c>
    </row>
    <row r="26" spans="1:14">
      <c r="A26" s="4" t="s">
        <v>7</v>
      </c>
      <c r="B26" s="1" t="s">
        <v>73</v>
      </c>
      <c r="C26" s="16">
        <v>45969</v>
      </c>
      <c r="D26" s="72" t="s">
        <v>414</v>
      </c>
      <c r="E26" s="1" t="str">
        <f>_xlfn.XLOOKUP(F26,UTIL!Q:Q,UTIL!N:N,"-")</f>
        <v>012154080</v>
      </c>
      <c r="F26" s="15" t="s">
        <v>75</v>
      </c>
      <c r="G26" s="14">
        <v>52</v>
      </c>
      <c r="H26" s="4" t="s">
        <v>381</v>
      </c>
      <c r="I26" s="15">
        <v>233000</v>
      </c>
      <c r="J26" s="16">
        <v>45979</v>
      </c>
      <c r="K26" s="71" t="s">
        <v>415</v>
      </c>
      <c r="L26" s="15" t="str">
        <f>TEXT($C26,"dd.mm") &amp; " -Ped " &amp; D26 &amp; " -" &amp; F26 &amp; " -R$" &amp; G26 &amp; IF(LEN(TRIM(I26))=0, "", " -NF " &amp; TRIM(I26))</f>
        <v>08.11 -Ped 047900 -TX LOG -TR PEÇA -R$52 -NF 233000</v>
      </c>
      <c r="N26" s="2" t="str">
        <f>"Por gentileza, colocar o número do *Pedido "&amp;PEDIDOS[[#This Row],[PDDO]]&amp;"* na nota que irá emitir para gente."</f>
        <v>Por gentileza, colocar o número do *Pedido 047900* na nota que irá emitir para gente.</v>
      </c>
    </row>
    <row r="27" spans="1:14">
      <c r="A27" s="4" t="s">
        <v>7</v>
      </c>
      <c r="B27" s="1" t="s">
        <v>73</v>
      </c>
      <c r="C27" s="16">
        <v>45969</v>
      </c>
      <c r="D27" s="72" t="s">
        <v>414</v>
      </c>
      <c r="E27" s="1" t="str">
        <f>_xlfn.XLOOKUP(F27,UTIL!Q:Q,UTIL!N:N,"-")</f>
        <v>012154080</v>
      </c>
      <c r="F27" s="15" t="s">
        <v>75</v>
      </c>
      <c r="G27" s="14">
        <v>52</v>
      </c>
      <c r="H27" s="4" t="s">
        <v>381</v>
      </c>
      <c r="I27" s="15">
        <v>233017</v>
      </c>
      <c r="J27" s="16">
        <v>45979</v>
      </c>
      <c r="K27" s="71" t="s">
        <v>415</v>
      </c>
      <c r="L27" s="15" t="str">
        <f>TEXT($C27,"dd.mm") &amp; " -Ped " &amp; D27 &amp; " -" &amp; F27 &amp; " -R$" &amp; G27 &amp; IF(LEN(TRIM(I27))=0, "", " -NF " &amp; TRIM(I27))</f>
        <v>08.11 -Ped 047900 -TX LOG -TR PEÇA -R$52 -NF 233017</v>
      </c>
      <c r="N27" s="2" t="str">
        <f>"Por gentileza, colocar o número do *Pedido "&amp;PEDIDOS[[#This Row],[PDDO]]&amp;"* na nota que irá emitir para gente."</f>
        <v>Por gentileza, colocar o número do *Pedido 047900* na nota que irá emitir para gente.</v>
      </c>
    </row>
    <row r="28" spans="1:14">
      <c r="A28" s="4" t="s">
        <v>7</v>
      </c>
      <c r="B28" s="1" t="s">
        <v>58</v>
      </c>
      <c r="C28" s="16">
        <v>45969</v>
      </c>
      <c r="D28" s="72" t="s">
        <v>425</v>
      </c>
      <c r="E28" s="1" t="str">
        <f>_xlfn.XLOOKUP(F28,UTIL!Q:Q,UTIL!N:N,"-")</f>
        <v>012154080</v>
      </c>
      <c r="F28" s="15" t="s">
        <v>75</v>
      </c>
      <c r="G28" s="14">
        <v>52</v>
      </c>
      <c r="H28" s="4" t="s">
        <v>381</v>
      </c>
      <c r="I28" s="15">
        <v>233001</v>
      </c>
      <c r="J28" s="16">
        <v>45979</v>
      </c>
      <c r="K28" s="71" t="s">
        <v>415</v>
      </c>
      <c r="L28" s="15" t="str">
        <f>TEXT($C28,"dd.mm") &amp; " -Ped " &amp; D28 &amp; " -" &amp; F28 &amp; " -R$" &amp; G28 &amp; IF(LEN(TRIM(I28))=0, "", " -NF " &amp; TRIM(I28))</f>
        <v>08.11 -Ped 047902 -TX LOG -TR PEÇA -R$52 -NF 233001</v>
      </c>
      <c r="N28" s="2" t="str">
        <f>"Por gentileza, colocar o número do *Pedido "&amp;PEDIDOS[[#This Row],[PDDO]]&amp;"* na nota que irá emitir para gente."</f>
        <v>Por gentileza, colocar o número do *Pedido 047902* na nota que irá emitir para gente.</v>
      </c>
    </row>
    <row r="29" spans="1:14">
      <c r="A29" s="4" t="s">
        <v>382</v>
      </c>
      <c r="B29" s="1" t="s">
        <v>60</v>
      </c>
      <c r="C29" s="16">
        <v>45972</v>
      </c>
      <c r="D29" s="72" t="s">
        <v>426</v>
      </c>
      <c r="E29" s="1" t="str">
        <f>_xlfn.XLOOKUP(F29,UTIL!Q:Q,UTIL!N:N,"-")</f>
        <v>018725298</v>
      </c>
      <c r="F29" s="15" t="s">
        <v>402</v>
      </c>
      <c r="G29" s="14">
        <v>1389</v>
      </c>
      <c r="H29" s="4" t="s">
        <v>381</v>
      </c>
      <c r="I29" s="15">
        <v>468</v>
      </c>
      <c r="J29" s="16">
        <v>45979</v>
      </c>
      <c r="K29" s="71" t="s">
        <v>427</v>
      </c>
      <c r="L29" s="15" t="str">
        <f>TEXT($C29,"dd.mm") &amp; " -Ped " &amp; D29 &amp; " -" &amp; F29 &amp; " -R$" &amp; G29 &amp; IF(LEN(TRIM(I29))=0, "", " -NF " &amp; TRIM(I29))</f>
        <v>11.11 -Ped 047806 -MAZETTO -TR MAQ -R$1389 -NF 468</v>
      </c>
      <c r="N29" s="2" t="str">
        <f>"Por gentileza, colocar o número do *Pedido "&amp;PEDIDOS[[#This Row],[PDDO]]&amp;"* na nota que irá emitir para gente."</f>
        <v>Por gentileza, colocar o número do *Pedido 047806* na nota que irá emitir para gente.</v>
      </c>
    </row>
    <row r="30" spans="1:14">
      <c r="A30" s="4" t="s">
        <v>7</v>
      </c>
      <c r="B30" s="1" t="s">
        <v>73</v>
      </c>
      <c r="C30" s="16">
        <v>45972</v>
      </c>
      <c r="D30" s="72" t="s">
        <v>414</v>
      </c>
      <c r="E30" s="1" t="str">
        <f>_xlfn.XLOOKUP(F30,UTIL!Q:Q,UTIL!N:N,"-")</f>
        <v>012154080</v>
      </c>
      <c r="F30" s="15" t="s">
        <v>75</v>
      </c>
      <c r="G30" s="14">
        <v>52</v>
      </c>
      <c r="H30" s="4" t="s">
        <v>381</v>
      </c>
      <c r="I30" s="15">
        <v>233289</v>
      </c>
      <c r="J30" s="16">
        <v>45979</v>
      </c>
      <c r="K30" s="71" t="s">
        <v>415</v>
      </c>
      <c r="L30" s="15" t="str">
        <f>TEXT($C30,"dd.mm") &amp; " -Ped " &amp; D30 &amp; " -" &amp; F30 &amp; " -R$" &amp; G30 &amp; IF(LEN(TRIM(I30))=0, "", " -NF " &amp; TRIM(I30))</f>
        <v>11.11 -Ped 047900 -TX LOG -TR PEÇA -R$52 -NF 233289</v>
      </c>
      <c r="N30" s="2" t="str">
        <f>"Por gentileza, colocar o número do *Pedido "&amp;PEDIDOS[[#This Row],[PDDO]]&amp;"* na nota que irá emitir para gente."</f>
        <v>Por gentileza, colocar o número do *Pedido 047900* na nota que irá emitir para gente.</v>
      </c>
    </row>
    <row r="31" spans="1:14">
      <c r="A31" s="4" t="s">
        <v>7</v>
      </c>
      <c r="B31" s="1" t="s">
        <v>73</v>
      </c>
      <c r="C31" s="16">
        <v>45972</v>
      </c>
      <c r="D31" s="72" t="s">
        <v>414</v>
      </c>
      <c r="E31" s="1" t="str">
        <f>_xlfn.XLOOKUP(F31,UTIL!Q:Q,UTIL!N:N,"-")</f>
        <v>012154080</v>
      </c>
      <c r="F31" s="15" t="s">
        <v>75</v>
      </c>
      <c r="G31" s="14">
        <v>52</v>
      </c>
      <c r="H31" s="4" t="s">
        <v>381</v>
      </c>
      <c r="I31" s="15">
        <v>233292</v>
      </c>
      <c r="J31" s="16">
        <v>45979</v>
      </c>
      <c r="K31" s="71" t="s">
        <v>415</v>
      </c>
      <c r="L31" s="15" t="str">
        <f>TEXT($C31,"dd.mm") &amp; " -Ped " &amp; D31 &amp; " -" &amp; F31 &amp; " -R$" &amp; G31 &amp; IF(LEN(TRIM(I31))=0, "", " -NF " &amp; TRIM(I31))</f>
        <v>11.11 -Ped 047900 -TX LOG -TR PEÇA -R$52 -NF 233292</v>
      </c>
      <c r="N31" s="2" t="str">
        <f>"Por gentileza, colocar o número do *Pedido "&amp;PEDIDOS[[#This Row],[PDDO]]&amp;"* na nota que irá emitir para gente."</f>
        <v>Por gentileza, colocar o número do *Pedido 047900* na nota que irá emitir para gente.</v>
      </c>
    </row>
    <row r="32" spans="1:14">
      <c r="A32" s="4" t="s">
        <v>7</v>
      </c>
      <c r="B32" s="1" t="s">
        <v>58</v>
      </c>
      <c r="C32" s="16">
        <v>45972</v>
      </c>
      <c r="D32" s="72" t="s">
        <v>425</v>
      </c>
      <c r="E32" s="1" t="str">
        <f>_xlfn.XLOOKUP(F32,UTIL!Q:Q,UTIL!N:N,"-")</f>
        <v>012154080</v>
      </c>
      <c r="F32" s="15" t="s">
        <v>75</v>
      </c>
      <c r="G32" s="14">
        <v>52</v>
      </c>
      <c r="H32" s="4" t="s">
        <v>381</v>
      </c>
      <c r="I32" s="15">
        <v>233290</v>
      </c>
      <c r="J32" s="16">
        <v>45979</v>
      </c>
      <c r="K32" s="71" t="s">
        <v>415</v>
      </c>
      <c r="L32" s="15" t="str">
        <f>TEXT($C32,"dd.mm") &amp; " -Ped " &amp; D32 &amp; " -" &amp; F32 &amp; " -R$" &amp; G32 &amp; IF(LEN(TRIM(I32))=0, "", " -NF " &amp; TRIM(I32))</f>
        <v>11.11 -Ped 047902 -TX LOG -TR PEÇA -R$52 -NF 233290</v>
      </c>
      <c r="N32" s="2" t="str">
        <f>"Por gentileza, colocar o número do *Pedido "&amp;PEDIDOS[[#This Row],[PDDO]]&amp;"* na nota que irá emitir para gente."</f>
        <v>Por gentileza, colocar o número do *Pedido 047902* na nota que irá emitir para gente.</v>
      </c>
    </row>
    <row r="33" spans="1:14">
      <c r="A33" s="4" t="s">
        <v>7</v>
      </c>
      <c r="B33" s="1" t="s">
        <v>58</v>
      </c>
      <c r="C33" s="16">
        <v>45972</v>
      </c>
      <c r="D33" s="72" t="s">
        <v>425</v>
      </c>
      <c r="E33" s="1" t="str">
        <f>_xlfn.XLOOKUP(F33,UTIL!Q:Q,UTIL!N:N,"-")</f>
        <v>012154080</v>
      </c>
      <c r="F33" s="15" t="s">
        <v>75</v>
      </c>
      <c r="G33" s="14">
        <v>52</v>
      </c>
      <c r="H33" s="4" t="s">
        <v>381</v>
      </c>
      <c r="I33" s="15">
        <v>233291</v>
      </c>
      <c r="J33" s="16">
        <v>45979</v>
      </c>
      <c r="K33" s="71" t="s">
        <v>415</v>
      </c>
      <c r="L33" s="15" t="str">
        <f>TEXT($C33,"dd.mm") &amp; " -Ped " &amp; D33 &amp; " -" &amp; F33 &amp; " -R$" &amp; G33 &amp; IF(LEN(TRIM(I33))=0, "", " -NF " &amp; TRIM(I33))</f>
        <v>11.11 -Ped 047902 -TX LOG -TR PEÇA -R$52 -NF 233291</v>
      </c>
      <c r="N33" s="2" t="str">
        <f>"Por gentileza, colocar o número do *Pedido "&amp;PEDIDOS[[#This Row],[PDDO]]&amp;"* na nota que irá emitir para gente."</f>
        <v>Por gentileza, colocar o número do *Pedido 047902* na nota que irá emitir para gente.</v>
      </c>
    </row>
    <row r="34" spans="1:14">
      <c r="A34" s="4" t="s">
        <v>5</v>
      </c>
      <c r="B34" s="1" t="s">
        <v>50</v>
      </c>
      <c r="C34" s="16">
        <v>45973</v>
      </c>
      <c r="D34" s="72" t="s">
        <v>428</v>
      </c>
      <c r="E34" s="1" t="str">
        <f>_xlfn.XLOOKUP(F34,UTIL!Q:Q,UTIL!N:N,"-")</f>
        <v>000495608</v>
      </c>
      <c r="F34" s="15" t="s">
        <v>429</v>
      </c>
      <c r="G34" s="14">
        <v>440</v>
      </c>
      <c r="H34" s="4" t="s">
        <v>381</v>
      </c>
      <c r="I34" s="15">
        <v>5331</v>
      </c>
      <c r="J34" s="16">
        <v>45979</v>
      </c>
      <c r="K34" s="71" t="s">
        <v>430</v>
      </c>
      <c r="L34" s="15" t="str">
        <f>TEXT($C34,"dd.mm") &amp; " -Ped " &amp; D34 &amp; " -" &amp; F34 &amp; " -R$" &amp; G34 &amp; IF(LEN(TRIM(I34))=0, "", " -NF " &amp; TRIM(I34))</f>
        <v>12.11 -Ped 047801 -MONTPAR GUINDASTES -R$440 -NF 5331</v>
      </c>
      <c r="N34" s="2" t="str">
        <f>"Por gentileza, colocar o número do *Pedido "&amp;PEDIDOS[[#This Row],[PDDO]]&amp;"* na nota que irá emitir para gente."</f>
        <v>Por gentileza, colocar o número do *Pedido 047801* na nota que irá emitir para gente.</v>
      </c>
    </row>
    <row r="35" spans="1:14">
      <c r="A35" s="4" t="s">
        <v>382</v>
      </c>
      <c r="B35" s="1" t="s">
        <v>59</v>
      </c>
      <c r="C35" s="16">
        <v>45975</v>
      </c>
      <c r="D35" s="72" t="s">
        <v>431</v>
      </c>
      <c r="E35" s="1" t="str">
        <f>_xlfn.XLOOKUP(F35,UTIL!Q:Q,UTIL!N:N,"-")</f>
        <v>018725298</v>
      </c>
      <c r="F35" s="15" t="s">
        <v>402</v>
      </c>
      <c r="G35" s="14">
        <v>3662.3</v>
      </c>
      <c r="H35" s="4" t="s">
        <v>381</v>
      </c>
      <c r="I35" s="15">
        <v>469</v>
      </c>
      <c r="J35" s="16">
        <v>45979</v>
      </c>
      <c r="K35" s="71" t="s">
        <v>432</v>
      </c>
      <c r="L35" s="15" t="str">
        <f>TEXT($C35,"dd.mm") &amp; " -Ped " &amp; D35 &amp; " -" &amp; F35 &amp; " -R$" &amp; G35 &amp; IF(LEN(TRIM(I35))=0, "", " -NF " &amp; TRIM(I35))</f>
        <v>14.11 -Ped 047804 -MAZETTO -TR MAQ -R$3662,3 -NF 469</v>
      </c>
      <c r="N35" s="2" t="str">
        <f>"Por gentileza, colocar o número do *Pedido "&amp;PEDIDOS[[#This Row],[PDDO]]&amp;"* na nota que irá emitir para gente."</f>
        <v>Por gentileza, colocar o número do *Pedido 047804* na nota que irá emitir para gente.</v>
      </c>
    </row>
    <row r="36" spans="1:14">
      <c r="A36" s="4" t="s">
        <v>7</v>
      </c>
      <c r="B36" s="1" t="s">
        <v>73</v>
      </c>
      <c r="C36" s="16">
        <v>45975</v>
      </c>
      <c r="D36" s="72" t="s">
        <v>414</v>
      </c>
      <c r="E36" s="1" t="str">
        <f>_xlfn.XLOOKUP(F36,UTIL!Q:Q,UTIL!N:N,"-")</f>
        <v>012154080</v>
      </c>
      <c r="F36" s="15" t="s">
        <v>75</v>
      </c>
      <c r="G36" s="14">
        <v>52</v>
      </c>
      <c r="H36" s="4" t="s">
        <v>381</v>
      </c>
      <c r="I36" s="15">
        <v>234044</v>
      </c>
      <c r="J36" s="16">
        <v>45979</v>
      </c>
      <c r="K36" s="71" t="s">
        <v>415</v>
      </c>
      <c r="L36" s="15" t="str">
        <f>TEXT($C36,"dd.mm") &amp; " -Ped " &amp; D36 &amp; " -" &amp; F36 &amp; " -R$" &amp; G36 &amp; IF(LEN(TRIM(I36))=0, "", " -NF " &amp; TRIM(I36))</f>
        <v>14.11 -Ped 047900 -TX LOG -TR PEÇA -R$52 -NF 234044</v>
      </c>
      <c r="N36" s="2" t="str">
        <f>"Por gentileza, colocar o número do *Pedido "&amp;PEDIDOS[[#This Row],[PDDO]]&amp;"* na nota que irá emitir para gente."</f>
        <v>Por gentileza, colocar o número do *Pedido 047900* na nota que irá emitir para gente.</v>
      </c>
    </row>
    <row r="37" spans="1:14">
      <c r="A37" s="4" t="s">
        <v>7</v>
      </c>
      <c r="B37" s="1" t="s">
        <v>58</v>
      </c>
      <c r="C37" s="16">
        <v>45975</v>
      </c>
      <c r="D37" s="72" t="s">
        <v>425</v>
      </c>
      <c r="E37" s="1" t="str">
        <f>_xlfn.XLOOKUP(F37,UTIL!Q:Q,UTIL!N:N,"-")</f>
        <v>012154080</v>
      </c>
      <c r="F37" s="15" t="s">
        <v>75</v>
      </c>
      <c r="G37" s="14">
        <v>52</v>
      </c>
      <c r="H37" s="4" t="s">
        <v>381</v>
      </c>
      <c r="I37" s="15">
        <v>234040</v>
      </c>
      <c r="J37" s="16">
        <v>45979</v>
      </c>
      <c r="K37" s="71" t="s">
        <v>415</v>
      </c>
      <c r="L37" s="15" t="str">
        <f>TEXT($C37,"dd.mm") &amp; " -Ped " &amp; D37 &amp; " -" &amp; F37 &amp; " -R$" &amp; G37 &amp; IF(LEN(TRIM(I37))=0, "", " -NF " &amp; TRIM(I37))</f>
        <v>14.11 -Ped 047902 -TX LOG -TR PEÇA -R$52 -NF 234040</v>
      </c>
      <c r="N37" s="2" t="str">
        <f>"Por gentileza, colocar o número do *Pedido "&amp;PEDIDOS[[#This Row],[PDDO]]&amp;"* na nota que irá emitir para gente."</f>
        <v>Por gentileza, colocar o número do *Pedido 047902* na nota que irá emitir para gente.</v>
      </c>
    </row>
    <row r="38" spans="1:14">
      <c r="A38" s="4" t="s">
        <v>7</v>
      </c>
      <c r="B38" s="1" t="s">
        <v>58</v>
      </c>
      <c r="C38" s="16">
        <v>45975</v>
      </c>
      <c r="D38" s="72" t="s">
        <v>425</v>
      </c>
      <c r="E38" s="1" t="str">
        <f>_xlfn.XLOOKUP(F38,UTIL!Q:Q,UTIL!N:N,"-")</f>
        <v>012154080</v>
      </c>
      <c r="F38" s="15" t="s">
        <v>75</v>
      </c>
      <c r="G38" s="14">
        <v>52</v>
      </c>
      <c r="H38" s="4" t="s">
        <v>381</v>
      </c>
      <c r="I38" s="15">
        <v>234045</v>
      </c>
      <c r="J38" s="16">
        <v>45979</v>
      </c>
      <c r="K38" s="71" t="s">
        <v>415</v>
      </c>
      <c r="L38" s="15" t="str">
        <f>TEXT($C38,"dd.mm") &amp; " -Ped " &amp; D38 &amp; " -" &amp; F38 &amp; " -R$" &amp; G38 &amp; IF(LEN(TRIM(I38))=0, "", " -NF " &amp; TRIM(I38))</f>
        <v>14.11 -Ped 047902 -TX LOG -TR PEÇA -R$52 -NF 234045</v>
      </c>
      <c r="N38" s="2" t="str">
        <f>"Por gentileza, colocar o número do *Pedido "&amp;PEDIDOS[[#This Row],[PDDO]]&amp;"* na nota que irá emitir para gente."</f>
        <v>Por gentileza, colocar o número do *Pedido 047902* na nota que irá emitir para gente.</v>
      </c>
    </row>
    <row r="39" spans="1:14">
      <c r="A39" s="4" t="s">
        <v>7</v>
      </c>
      <c r="B39" s="1" t="s">
        <v>50</v>
      </c>
      <c r="C39" s="16">
        <v>45968</v>
      </c>
      <c r="D39" s="72" t="s">
        <v>433</v>
      </c>
      <c r="E39" s="1" t="str">
        <f>_xlfn.XLOOKUP(F39,UTIL!Q:Q,UTIL!N:N,"-")</f>
        <v>080227796</v>
      </c>
      <c r="F39" s="15" t="s">
        <v>68</v>
      </c>
      <c r="G39" s="14">
        <v>345.91</v>
      </c>
      <c r="H39" s="4" t="s">
        <v>381</v>
      </c>
      <c r="I39" s="15">
        <v>352387</v>
      </c>
      <c r="J39" s="16">
        <v>45975</v>
      </c>
      <c r="K39" s="71" t="s">
        <v>434</v>
      </c>
      <c r="L39" s="15" t="str">
        <f>TEXT($C39,"dd.mm") &amp; " -Ped " &amp; D39 &amp; " -" &amp; F39 &amp; " -R$" &amp; G39 &amp; IF(LEN(TRIM(I39))=0, "", " -NF " &amp; TRIM(I39))</f>
        <v>07.11 -Ped 047750 -PRINCESA -TR PEÇA -R$345,91 -NF 352387</v>
      </c>
      <c r="N39" s="2" t="str">
        <f>"Por gentileza, colocar o número do *Pedido "&amp;PEDIDOS[[#This Row],[PDDO]]&amp;"* na nota que irá emitir para gente."</f>
        <v>Por gentileza, colocar o número do *Pedido 047750* na nota que irá emitir para gente.</v>
      </c>
    </row>
    <row r="40" spans="1:14">
      <c r="A40" s="4" t="s">
        <v>7</v>
      </c>
      <c r="B40" s="1" t="s">
        <v>50</v>
      </c>
      <c r="C40" s="16">
        <v>45968</v>
      </c>
      <c r="D40" s="72" t="s">
        <v>433</v>
      </c>
      <c r="E40" s="1" t="str">
        <f>_xlfn.XLOOKUP(F40,UTIL!Q:Q,UTIL!N:N,"-")</f>
        <v>080227796</v>
      </c>
      <c r="F40" s="15" t="s">
        <v>68</v>
      </c>
      <c r="G40" s="14">
        <v>49.74</v>
      </c>
      <c r="H40" s="4" t="s">
        <v>381</v>
      </c>
      <c r="I40" s="15">
        <v>352389</v>
      </c>
      <c r="J40" s="16">
        <v>45975</v>
      </c>
      <c r="K40" s="71" t="s">
        <v>435</v>
      </c>
      <c r="L40" s="15" t="str">
        <f>TEXT($C40,"dd.mm") &amp; " -Ped " &amp; D40 &amp; " -" &amp; F40 &amp; " -R$" &amp; G40 &amp; IF(LEN(TRIM(I40))=0, "", " -NF " &amp; TRIM(I40))</f>
        <v>07.11 -Ped 047750 -PRINCESA -TR PEÇA -R$49,74 -NF 352389</v>
      </c>
      <c r="N40" s="2" t="str">
        <f>"Por gentileza, colocar o número do *Pedido "&amp;PEDIDOS[[#This Row],[PDDO]]&amp;"* na nota que irá emitir para gente."</f>
        <v>Por gentileza, colocar o número do *Pedido 047750* na nota que irá emitir para gente.</v>
      </c>
    </row>
    <row r="41" spans="1:14">
      <c r="A41" s="4" t="s">
        <v>7</v>
      </c>
      <c r="B41" s="1" t="s">
        <v>50</v>
      </c>
      <c r="C41" s="16">
        <v>45968</v>
      </c>
      <c r="D41" s="72" t="s">
        <v>433</v>
      </c>
      <c r="E41" s="1" t="str">
        <f>_xlfn.XLOOKUP(F41,UTIL!Q:Q,UTIL!N:N,"-")</f>
        <v>080227796</v>
      </c>
      <c r="F41" s="15" t="s">
        <v>68</v>
      </c>
      <c r="G41" s="14">
        <v>46.32</v>
      </c>
      <c r="H41" s="4" t="s">
        <v>381</v>
      </c>
      <c r="I41" s="15">
        <v>355838</v>
      </c>
      <c r="J41" s="16">
        <v>45975</v>
      </c>
      <c r="K41" s="71" t="s">
        <v>435</v>
      </c>
      <c r="L41" s="15" t="str">
        <f>TEXT($C41,"dd.mm") &amp; " -Ped " &amp; D41 &amp; " -" &amp; F41 &amp; " -R$" &amp; G41 &amp; IF(LEN(TRIM(I41))=0, "", " -NF " &amp; TRIM(I41))</f>
        <v>07.11 -Ped 047750 -PRINCESA -TR PEÇA -R$46,32 -NF 355838</v>
      </c>
      <c r="N41" s="2" t="str">
        <f>"Por gentileza, colocar o número do *Pedido "&amp;PEDIDOS[[#This Row],[PDDO]]&amp;"* na nota que irá emitir para gente."</f>
        <v>Por gentileza, colocar o número do *Pedido 047750* na nota que irá emitir para gente.</v>
      </c>
    </row>
    <row r="42" spans="1:14">
      <c r="A42" s="4" t="s">
        <v>7</v>
      </c>
      <c r="B42" s="1" t="s">
        <v>50</v>
      </c>
      <c r="C42" s="16">
        <v>45971</v>
      </c>
      <c r="D42" s="72" t="s">
        <v>436</v>
      </c>
      <c r="E42" s="1" t="str">
        <f>_xlfn.XLOOKUP(F42,UTIL!Q:Q,UTIL!N:N,"-")</f>
        <v>056953013</v>
      </c>
      <c r="F42" s="15" t="s">
        <v>52</v>
      </c>
      <c r="G42" s="14">
        <v>884.29</v>
      </c>
      <c r="H42" s="4" t="s">
        <v>381</v>
      </c>
      <c r="I42" s="15">
        <v>775</v>
      </c>
      <c r="J42" s="16">
        <v>45975</v>
      </c>
      <c r="K42" s="71" t="s">
        <v>437</v>
      </c>
      <c r="L42" s="15" t="str">
        <f>TEXT($C42,"dd.mm") &amp; " -Ped " &amp; D42 &amp; " -" &amp; F42 &amp; " -R$" &amp; G42 &amp; IF(LEN(TRIM(I42))=0, "", " -NF " &amp; TRIM(I42))</f>
        <v>10.11 -Ped 047757 -CARGADEDICADA -TR PEÇA -R$884,29 -NF 775</v>
      </c>
      <c r="N42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3" spans="1:14">
      <c r="A43" s="4" t="s">
        <v>7</v>
      </c>
      <c r="B43" s="1" t="s">
        <v>50</v>
      </c>
      <c r="C43" s="16">
        <v>45971</v>
      </c>
      <c r="D43" s="72" t="s">
        <v>436</v>
      </c>
      <c r="E43" s="1" t="str">
        <f>_xlfn.XLOOKUP(F43,UTIL!Q:Q,UTIL!N:N,"-")</f>
        <v>056953013</v>
      </c>
      <c r="F43" s="15" t="s">
        <v>52</v>
      </c>
      <c r="G43" s="14">
        <v>884.29</v>
      </c>
      <c r="H43" s="4" t="s">
        <v>381</v>
      </c>
      <c r="I43" s="15">
        <v>776</v>
      </c>
      <c r="J43" s="16">
        <v>45975</v>
      </c>
      <c r="K43" s="71" t="s">
        <v>437</v>
      </c>
      <c r="L43" s="15" t="str">
        <f>TEXT($C43,"dd.mm") &amp; " -Ped " &amp; D43 &amp; " -" &amp; F43 &amp; " -R$" &amp; G43 &amp; IF(LEN(TRIM(I43))=0, "", " -NF " &amp; TRIM(I43))</f>
        <v>10.11 -Ped 047757 -CARGADEDICADA -TR PEÇA -R$884,29 -NF 776</v>
      </c>
      <c r="N43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4" spans="1:14">
      <c r="A44" s="4" t="s">
        <v>7</v>
      </c>
      <c r="B44" s="1" t="s">
        <v>50</v>
      </c>
      <c r="C44" s="16">
        <v>45971</v>
      </c>
      <c r="D44" s="72" t="s">
        <v>436</v>
      </c>
      <c r="E44" s="1" t="str">
        <f>_xlfn.XLOOKUP(F44,UTIL!Q:Q,UTIL!N:N,"-")</f>
        <v>056953013</v>
      </c>
      <c r="F44" s="15" t="s">
        <v>52</v>
      </c>
      <c r="G44" s="14">
        <v>884.29</v>
      </c>
      <c r="H44" s="4" t="s">
        <v>381</v>
      </c>
      <c r="I44" s="15">
        <v>777</v>
      </c>
      <c r="J44" s="16">
        <v>45975</v>
      </c>
      <c r="K44" s="71" t="s">
        <v>437</v>
      </c>
      <c r="L44" s="15" t="str">
        <f>TEXT($C44,"dd.mm") &amp; " -Ped " &amp; D44 &amp; " -" &amp; F44 &amp; " -R$" &amp; G44 &amp; IF(LEN(TRIM(I44))=0, "", " -NF " &amp; TRIM(I44))</f>
        <v>10.11 -Ped 047757 -CARGADEDICADA -TR PEÇA -R$884,29 -NF 777</v>
      </c>
      <c r="N44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5" spans="1:14">
      <c r="A45" s="4" t="s">
        <v>7</v>
      </c>
      <c r="B45" s="1" t="s">
        <v>50</v>
      </c>
      <c r="C45" s="16">
        <v>45971</v>
      </c>
      <c r="D45" s="72" t="s">
        <v>436</v>
      </c>
      <c r="E45" s="1" t="str">
        <f>_xlfn.XLOOKUP(F45,UTIL!Q:Q,UTIL!N:N,"-")</f>
        <v>056953013</v>
      </c>
      <c r="F45" s="15" t="s">
        <v>52</v>
      </c>
      <c r="G45" s="14">
        <v>884.29</v>
      </c>
      <c r="H45" s="4" t="s">
        <v>381</v>
      </c>
      <c r="I45" s="15">
        <v>778</v>
      </c>
      <c r="J45" s="16">
        <v>45975</v>
      </c>
      <c r="K45" s="71" t="s">
        <v>437</v>
      </c>
      <c r="L45" s="15" t="str">
        <f>TEXT($C45,"dd.mm") &amp; " -Ped " &amp; D45 &amp; " -" &amp; F45 &amp; " -R$" &amp; G45 &amp; IF(LEN(TRIM(I45))=0, "", " -NF " &amp; TRIM(I45))</f>
        <v>10.11 -Ped 047757 -CARGADEDICADA -TR PEÇA -R$884,29 -NF 778</v>
      </c>
      <c r="N45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6" spans="1:14" ht="15" customHeight="1">
      <c r="A46" s="4" t="s">
        <v>7</v>
      </c>
      <c r="B46" s="1" t="s">
        <v>50</v>
      </c>
      <c r="C46" s="16">
        <v>45971</v>
      </c>
      <c r="D46" s="72" t="s">
        <v>436</v>
      </c>
      <c r="E46" s="1" t="str">
        <f>_xlfn.XLOOKUP(F46,UTIL!Q:Q,UTIL!N:N,"-")</f>
        <v>056953013</v>
      </c>
      <c r="F46" s="15" t="s">
        <v>52</v>
      </c>
      <c r="G46" s="14">
        <v>884.29</v>
      </c>
      <c r="H46" s="4" t="s">
        <v>381</v>
      </c>
      <c r="I46" s="15">
        <v>779</v>
      </c>
      <c r="J46" s="16">
        <v>45975</v>
      </c>
      <c r="K46" s="71" t="s">
        <v>437</v>
      </c>
      <c r="L46" s="15" t="str">
        <f>TEXT($C46,"dd.mm") &amp; " -Ped " &amp; D46 &amp; " -" &amp; F46 &amp; " -R$" &amp; G46 &amp; IF(LEN(TRIM(I46))=0, "", " -NF " &amp; TRIM(I46))</f>
        <v>10.11 -Ped 047757 -CARGADEDICADA -TR PEÇA -R$884,29 -NF 779</v>
      </c>
      <c r="N46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7" spans="1:14" ht="15" customHeight="1">
      <c r="A47" s="4" t="s">
        <v>7</v>
      </c>
      <c r="B47" s="1" t="s">
        <v>50</v>
      </c>
      <c r="C47" s="16">
        <v>45971</v>
      </c>
      <c r="D47" s="72" t="s">
        <v>436</v>
      </c>
      <c r="E47" s="1" t="str">
        <f>_xlfn.XLOOKUP(F47,UTIL!Q:Q,UTIL!N:N,"-")</f>
        <v>056953013</v>
      </c>
      <c r="F47" s="15" t="s">
        <v>52</v>
      </c>
      <c r="G47" s="14">
        <v>884.29</v>
      </c>
      <c r="H47" s="4" t="s">
        <v>381</v>
      </c>
      <c r="I47" s="15">
        <v>781</v>
      </c>
      <c r="J47" s="16">
        <v>45975</v>
      </c>
      <c r="K47" s="71" t="s">
        <v>437</v>
      </c>
      <c r="L47" s="15" t="str">
        <f>TEXT($C47,"dd.mm") &amp; " -Ped " &amp; D47 &amp; " -" &amp; F47 &amp; " -R$" &amp; G47 &amp; IF(LEN(TRIM(I47))=0, "", " -NF " &amp; TRIM(I47))</f>
        <v>10.11 -Ped 047757 -CARGADEDICADA -TR PEÇA -R$884,29 -NF 781</v>
      </c>
      <c r="N47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8" spans="1:14" ht="15" customHeight="1">
      <c r="A48" s="4" t="s">
        <v>7</v>
      </c>
      <c r="B48" s="1" t="s">
        <v>50</v>
      </c>
      <c r="C48" s="16">
        <v>45971</v>
      </c>
      <c r="D48" s="72" t="s">
        <v>436</v>
      </c>
      <c r="E48" s="1" t="str">
        <f>_xlfn.XLOOKUP(F48,UTIL!Q:Q,UTIL!N:N,"-")</f>
        <v>056953013</v>
      </c>
      <c r="F48" s="15" t="s">
        <v>52</v>
      </c>
      <c r="G48" s="14">
        <v>884.29</v>
      </c>
      <c r="H48" s="4" t="s">
        <v>381</v>
      </c>
      <c r="I48" s="15">
        <v>782</v>
      </c>
      <c r="J48" s="16">
        <v>45975</v>
      </c>
      <c r="K48" s="71" t="s">
        <v>437</v>
      </c>
      <c r="L48" s="15" t="str">
        <f>TEXT($C48,"dd.mm") &amp; " -Ped " &amp; D48 &amp; " -" &amp; F48 &amp; " -R$" &amp; G48 &amp; IF(LEN(TRIM(I48))=0, "", " -NF " &amp; TRIM(I48))</f>
        <v>10.11 -Ped 047757 -CARGADEDICADA -TR PEÇA -R$884,29 -NF 782</v>
      </c>
      <c r="N48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9" spans="1:14" ht="15" customHeight="1">
      <c r="A49" s="4" t="s">
        <v>6</v>
      </c>
      <c r="B49" s="1" t="s">
        <v>72</v>
      </c>
      <c r="C49" s="16">
        <v>45973</v>
      </c>
      <c r="D49" s="72" t="s">
        <v>438</v>
      </c>
      <c r="E49" s="1" t="str">
        <f>_xlfn.XLOOKUP(F49,UTIL!Q:Q,UTIL!N:N,"-")</f>
        <v>061196032</v>
      </c>
      <c r="F49" s="15" t="s">
        <v>81</v>
      </c>
      <c r="G49" s="14">
        <v>70</v>
      </c>
      <c r="H49" s="4" t="s">
        <v>381</v>
      </c>
      <c r="I49" s="15">
        <v>54</v>
      </c>
      <c r="J49" s="16">
        <v>45975</v>
      </c>
      <c r="K49" s="71" t="s">
        <v>36</v>
      </c>
      <c r="L49" s="15" t="str">
        <f>TEXT($C49,"dd.mm") &amp; " -Ped " &amp; D49 &amp; " -" &amp; F49 &amp; " -R$" &amp; G49 &amp; IF(LEN(TRIM(I49))=0, "", " -NF " &amp; TRIM(I49))</f>
        <v>12.11 -Ped 047687 -ANDREIA R. COURIER -R$70 -NF 54</v>
      </c>
      <c r="N49" s="2" t="str">
        <f>"Por gentileza, colocar o número do *Pedido "&amp;PEDIDOS[[#This Row],[PDDO]]&amp;"* na nota que irá emitir para gente."</f>
        <v>Por gentileza, colocar o número do *Pedido 047687* na nota que irá emitir para gente.</v>
      </c>
    </row>
    <row r="50" spans="1:14" ht="15" customHeight="1">
      <c r="A50" s="4" t="s">
        <v>5</v>
      </c>
      <c r="B50" s="1" t="s">
        <v>49</v>
      </c>
      <c r="C50" s="16">
        <v>45975</v>
      </c>
      <c r="D50" s="72" t="s">
        <v>439</v>
      </c>
      <c r="E50" s="1" t="str">
        <f>_xlfn.XLOOKUP(F50,UTIL!Q:Q,UTIL!N:N,"-")</f>
        <v>006914002</v>
      </c>
      <c r="F50" s="15" t="s">
        <v>399</v>
      </c>
      <c r="G50" s="14">
        <v>800</v>
      </c>
      <c r="H50" s="4" t="s">
        <v>381</v>
      </c>
      <c r="I50" s="15">
        <v>190</v>
      </c>
      <c r="J50" s="16">
        <v>45975</v>
      </c>
      <c r="K50" s="71" t="s">
        <v>440</v>
      </c>
      <c r="L50" s="15" t="str">
        <f>TEXT($C50,"dd.mm") &amp; " -Ped " &amp; D50 &amp; " -" &amp; F50 &amp; " -R$" &amp; G50 &amp; IF(LEN(TRIM(I50))=0, "", " -NF " &amp; TRIM(I50))</f>
        <v>14.11 -Ped 047738 -TRANSCAPITINGA-TR MAQ -R$800 -NF 190</v>
      </c>
      <c r="N50" s="2" t="str">
        <f>"Por gentileza, colocar o número do *Pedido "&amp;PEDIDOS[[#This Row],[PDDO]]&amp;"* na nota que irá emitir para gente."</f>
        <v>Por gentileza, colocar o número do *Pedido 047738* na nota que irá emitir para gente.</v>
      </c>
    </row>
    <row r="51" spans="1:14" ht="15" customHeight="1">
      <c r="A51" s="4" t="s">
        <v>6</v>
      </c>
      <c r="B51" s="1" t="s">
        <v>59</v>
      </c>
      <c r="C51" s="16">
        <v>45972</v>
      </c>
      <c r="D51" s="72" t="s">
        <v>441</v>
      </c>
      <c r="E51" s="1" t="str">
        <f>_xlfn.XLOOKUP(F51,UTIL!Q:Q,UTIL!N:N,"-")</f>
        <v>059376166</v>
      </c>
      <c r="F51" s="15" t="s">
        <v>61</v>
      </c>
      <c r="G51" s="14">
        <v>2390</v>
      </c>
      <c r="H51" s="4" t="s">
        <v>381</v>
      </c>
      <c r="I51" s="15">
        <v>155</v>
      </c>
      <c r="J51" s="16">
        <v>45974</v>
      </c>
      <c r="K51" s="71" t="s">
        <v>36</v>
      </c>
      <c r="L51" s="15" t="str">
        <f>TEXT($C51,"dd.mm") &amp; " -Ped " &amp; D51 &amp; " -" &amp; F51 &amp; " -R$" &amp; G51 &amp; IF(LEN(TRIM(I51))=0, "", " -NF " &amp; TRIM(I51))</f>
        <v>11.11 -Ped 047685 -JOSEAMILTON1 COURIER -R$2390 -NF 155</v>
      </c>
      <c r="N51" s="2" t="str">
        <f>"Por gentileza, colocar o número do *Pedido "&amp;PEDIDOS[[#This Row],[PDDO]]&amp;"* na nota que irá emitir para gente."</f>
        <v>Por gentileza, colocar o número do *Pedido 047685* na nota que irá emitir para gente.</v>
      </c>
    </row>
    <row r="52" spans="1:14" ht="15" customHeight="1">
      <c r="A52" s="4" t="s">
        <v>6</v>
      </c>
      <c r="B52" s="1" t="s">
        <v>60</v>
      </c>
      <c r="C52" s="16">
        <v>45965</v>
      </c>
      <c r="D52" s="72" t="s">
        <v>442</v>
      </c>
      <c r="E52" s="1" t="str">
        <f>_xlfn.XLOOKUP(F52,UTIL!Q:Q,UTIL!N:N,"-")</f>
        <v>051496564</v>
      </c>
      <c r="F52" s="15" t="s">
        <v>67</v>
      </c>
      <c r="G52" s="14">
        <v>400</v>
      </c>
      <c r="H52" s="4" t="s">
        <v>381</v>
      </c>
      <c r="I52" s="15">
        <v>420</v>
      </c>
      <c r="J52" s="16">
        <v>45973</v>
      </c>
      <c r="K52" s="71" t="s">
        <v>443</v>
      </c>
      <c r="L52" s="15" t="str">
        <f>TEXT($C52,"dd.mm") &amp; " -Ped " &amp; D52 &amp; " -" &amp; F52 &amp; " -R$" &amp; G52 &amp; IF(LEN(TRIM(I52))=0, "", " -NF " &amp; TRIM(I52))</f>
        <v>04.11 -Ped 047525 -MARCOS D. COURIER -R$400 -NF 420</v>
      </c>
      <c r="N52" s="2" t="str">
        <f>"Por gentileza, colocar o número do *Pedido "&amp;PEDIDOS[[#This Row],[PDDO]]&amp;"* na nota que irá emitir para gente."</f>
        <v>Por gentileza, colocar o número do *Pedido 047525* na nota que irá emitir para gente.</v>
      </c>
    </row>
    <row r="53" spans="1:14" ht="15" customHeight="1">
      <c r="A53" s="4" t="s">
        <v>76</v>
      </c>
      <c r="B53" s="1" t="s">
        <v>50</v>
      </c>
      <c r="C53" s="16">
        <v>45967</v>
      </c>
      <c r="D53" s="72" t="s">
        <v>444</v>
      </c>
      <c r="E53" s="1" t="str">
        <f>_xlfn.XLOOKUP(F53,UTIL!Q:Q,UTIL!N:N,"-")</f>
        <v>050435638</v>
      </c>
      <c r="F53" s="15" t="s">
        <v>445</v>
      </c>
      <c r="G53" s="14">
        <v>500</v>
      </c>
      <c r="H53" s="4" t="s">
        <v>381</v>
      </c>
      <c r="I53" s="15">
        <v>1412</v>
      </c>
      <c r="J53" s="16">
        <v>45973</v>
      </c>
      <c r="K53" s="71" t="s">
        <v>446</v>
      </c>
      <c r="L53" s="15" t="str">
        <f>TEXT($C53,"dd.mm") &amp; " -Ped " &amp; D53 &amp; " -" &amp; F53 &amp; " -R$" &amp; G53 &amp; IF(LEN(TRIM(I53))=0, "", " -NF " &amp; TRIM(I53))</f>
        <v>06.11 -Ped 047553 -ANDREANI - MT -R$500 -NF 1412</v>
      </c>
      <c r="N53" s="2" t="str">
        <f>"Por gentileza, colocar o número do *Pedido "&amp;PEDIDOS[[#This Row],[PDDO]]&amp;"* na nota que irá emitir para gente."</f>
        <v>Por gentileza, colocar o número do *Pedido 047553* na nota que irá emitir para gente.</v>
      </c>
    </row>
    <row r="54" spans="1:14" ht="15" customHeight="1">
      <c r="A54" s="4" t="s">
        <v>76</v>
      </c>
      <c r="B54" s="1" t="s">
        <v>50</v>
      </c>
      <c r="C54" s="16">
        <v>45967</v>
      </c>
      <c r="D54" s="72" t="s">
        <v>444</v>
      </c>
      <c r="E54" s="1" t="str">
        <f>_xlfn.XLOOKUP(F54,UTIL!Q:Q,UTIL!N:N,"-")</f>
        <v>050435638</v>
      </c>
      <c r="F54" s="15" t="s">
        <v>445</v>
      </c>
      <c r="G54" s="14">
        <v>397</v>
      </c>
      <c r="H54" s="4" t="s">
        <v>381</v>
      </c>
      <c r="I54" s="15">
        <v>189</v>
      </c>
      <c r="J54" s="16">
        <v>45973</v>
      </c>
      <c r="K54" s="71" t="s">
        <v>447</v>
      </c>
      <c r="L54" s="15" t="str">
        <f>TEXT($C54,"dd.mm") &amp; " -Ped " &amp; D54 &amp; " -" &amp; F54 &amp; " -R$" &amp; G54 &amp; IF(LEN(TRIM(I54))=0, "", " -NF " &amp; TRIM(I54))</f>
        <v>06.11 -Ped 047553 -ANDREANI - MT -R$397 -NF 189</v>
      </c>
      <c r="N54" s="2" t="str">
        <f>"Por gentileza, colocar o número do *Pedido "&amp;PEDIDOS[[#This Row],[PDDO]]&amp;"* na nota que irá emitir para gente."</f>
        <v>Por gentileza, colocar o número do *Pedido 047553* na nota que irá emitir para gente.</v>
      </c>
    </row>
    <row r="55" spans="1:14" ht="15" customHeight="1">
      <c r="A55" s="4" t="s">
        <v>6</v>
      </c>
      <c r="B55" s="1" t="s">
        <v>60</v>
      </c>
      <c r="C55" s="16">
        <v>45968</v>
      </c>
      <c r="D55" s="72" t="s">
        <v>448</v>
      </c>
      <c r="E55" s="1" t="str">
        <f>_xlfn.XLOOKUP(F55,UTIL!Q:Q,UTIL!N:N,"-")</f>
        <v>051496564</v>
      </c>
      <c r="F55" s="15" t="s">
        <v>67</v>
      </c>
      <c r="G55" s="14">
        <v>420</v>
      </c>
      <c r="H55" s="4" t="s">
        <v>381</v>
      </c>
      <c r="I55" s="15">
        <v>421</v>
      </c>
      <c r="J55" s="16">
        <v>45973</v>
      </c>
      <c r="K55" s="71" t="s">
        <v>449</v>
      </c>
      <c r="L55" s="15" t="str">
        <f>TEXT($C55,"dd.mm") &amp; " -Ped " &amp; D55 &amp; " -" &amp; F55 &amp; " -R$" &amp; G55 &amp; IF(LEN(TRIM(I55))=0, "", " -NF " &amp; TRIM(I55))</f>
        <v>07.11 -Ped 047527 -MARCOS D. COURIER -R$420 -NF 421</v>
      </c>
      <c r="N55" s="2" t="str">
        <f>"Por gentileza, colocar o número do *Pedido "&amp;PEDIDOS[[#This Row],[PDDO]]&amp;"* na nota que irá emitir para gente."</f>
        <v>Por gentileza, colocar o número do *Pedido 047527* na nota que irá emitir para gente.</v>
      </c>
    </row>
    <row r="56" spans="1:14" ht="15" customHeight="1">
      <c r="A56" s="4" t="s">
        <v>6</v>
      </c>
      <c r="B56" s="1" t="s">
        <v>73</v>
      </c>
      <c r="C56" s="16">
        <v>45971</v>
      </c>
      <c r="D56" s="72" t="s">
        <v>450</v>
      </c>
      <c r="E56" s="1" t="str">
        <f>_xlfn.XLOOKUP(F56,UTIL!Q:Q,UTIL!N:N,"-")</f>
        <v>031370636</v>
      </c>
      <c r="F56" s="15" t="s">
        <v>78</v>
      </c>
      <c r="G56" s="14">
        <v>700</v>
      </c>
      <c r="H56" s="4" t="s">
        <v>381</v>
      </c>
      <c r="I56" s="15">
        <v>10</v>
      </c>
      <c r="J56" s="16">
        <v>45973</v>
      </c>
      <c r="K56" s="71"/>
      <c r="L56" s="15" t="str">
        <f>TEXT($C56,"dd.mm") &amp; " -Ped " &amp; D56 &amp; " -" &amp; F56 &amp; " -R$" &amp; G56 &amp; IF(LEN(TRIM(I56))=0, "", " -NF " &amp; TRIM(I56))</f>
        <v>10.11 -Ped 047550 -JORGE LUIZ 2 COURIER -R$700 -NF 10</v>
      </c>
      <c r="N56" s="2" t="str">
        <f>"Por gentileza, colocar o número do *Pedido "&amp;PEDIDOS[[#This Row],[PDDO]]&amp;"* na nota que irá emitir para gente."</f>
        <v>Por gentileza, colocar o número do *Pedido 047550* na nota que irá emitir para gente.</v>
      </c>
    </row>
    <row r="57" spans="1:14" ht="15" customHeight="1">
      <c r="A57" s="4" t="s">
        <v>6</v>
      </c>
      <c r="B57" s="1" t="s">
        <v>60</v>
      </c>
      <c r="C57" s="16">
        <v>45971</v>
      </c>
      <c r="D57" s="72" t="s">
        <v>442</v>
      </c>
      <c r="E57" s="1" t="str">
        <f>_xlfn.XLOOKUP(F57,UTIL!Q:Q,UTIL!N:N,"-")</f>
        <v>051496564</v>
      </c>
      <c r="F57" s="15" t="s">
        <v>67</v>
      </c>
      <c r="G57" s="14">
        <v>250</v>
      </c>
      <c r="H57" s="4" t="s">
        <v>381</v>
      </c>
      <c r="I57" s="15">
        <v>420</v>
      </c>
      <c r="J57" s="16">
        <v>45973</v>
      </c>
      <c r="K57" s="71" t="s">
        <v>451</v>
      </c>
      <c r="L57" s="15" t="str">
        <f>TEXT($C57,"dd.mm") &amp; " -Ped " &amp; D57 &amp; " -" &amp; F57 &amp; " -R$" &amp; G57 &amp; IF(LEN(TRIM(I57))=0, "", " -NF " &amp; TRIM(I57))</f>
        <v>10.11 -Ped 047525 -MARCOS D. COURIER -R$250 -NF 420</v>
      </c>
      <c r="N57" s="2" t="str">
        <f>"Por gentileza, colocar o número do *Pedido "&amp;PEDIDOS[[#This Row],[PDDO]]&amp;"* na nota que irá emitir para gente."</f>
        <v>Por gentileza, colocar o número do *Pedido 047525* na nota que irá emitir para gente.</v>
      </c>
    </row>
    <row r="58" spans="1:14" ht="15" customHeight="1">
      <c r="A58" s="4" t="s">
        <v>6</v>
      </c>
      <c r="B58" s="1" t="s">
        <v>72</v>
      </c>
      <c r="C58" s="16">
        <v>45964</v>
      </c>
      <c r="D58" s="1" t="s">
        <v>452</v>
      </c>
      <c r="E58" s="1" t="str">
        <f>_xlfn.XLOOKUP(F58,UTIL!Q:Q,UTIL!N:N,"-")</f>
        <v>061196032</v>
      </c>
      <c r="F58" s="15" t="s">
        <v>81</v>
      </c>
      <c r="G58" s="14">
        <v>200</v>
      </c>
      <c r="H58" s="4" t="s">
        <v>381</v>
      </c>
      <c r="I58" s="15" t="s">
        <v>453</v>
      </c>
      <c r="J58" s="16">
        <v>45972</v>
      </c>
      <c r="K58" s="71"/>
      <c r="L58" s="15" t="str">
        <f>TEXT($C58,"dd.mm") &amp; " -Ped " &amp; D58 &amp; " -" &amp; F58 &amp; " -R$" &amp; G58 &amp; IF(LEN(TRIM(I58))=0, "", " -NF " &amp; TRIM(I58))</f>
        <v>03.11 -Ped 047267 -ANDREIA R. COURIER -R$200 -NF FIN</v>
      </c>
      <c r="N58" s="2" t="str">
        <f>"Por gentileza, colocar o número do *Pedido "&amp;PEDIDOS[[#This Row],[PDDO]]&amp;"* na nota que irá emitir para gente."</f>
        <v>Por gentileza, colocar o número do *Pedido 047267* na nota que irá emitir para gente.</v>
      </c>
    </row>
    <row r="59" spans="1:14" ht="15" customHeight="1">
      <c r="A59" s="4" t="s">
        <v>6</v>
      </c>
      <c r="B59" s="1" t="s">
        <v>50</v>
      </c>
      <c r="C59" s="16">
        <v>45964</v>
      </c>
      <c r="D59" s="1" t="s">
        <v>454</v>
      </c>
      <c r="E59" s="1" t="str">
        <f>_xlfn.XLOOKUP(F59,UTIL!Q:Q,UTIL!N:N,"-")</f>
        <v>049138592</v>
      </c>
      <c r="F59" s="15" t="s">
        <v>51</v>
      </c>
      <c r="G59" s="14">
        <v>8245</v>
      </c>
      <c r="H59" s="4" t="s">
        <v>381</v>
      </c>
      <c r="I59" s="15">
        <v>242</v>
      </c>
      <c r="J59" s="16">
        <v>45972</v>
      </c>
      <c r="K59" s="71"/>
      <c r="L59" s="15" t="str">
        <f>TEXT($C59,"dd.mm") &amp; " -Ped " &amp; D59 &amp; " -" &amp; F59 &amp; " -R$" &amp; G59 &amp; IF(LEN(TRIM(I59))=0, "", " -NF " &amp; TRIM(I59))</f>
        <v>03.11 -Ped 047249 -DELTA MOTOS COURIER -R$8245 -NF 242</v>
      </c>
      <c r="N59" s="2" t="str">
        <f>"Por gentileza, colocar o número do *Pedido "&amp;PEDIDOS[[#This Row],[PDDO]]&amp;"* na nota que irá emitir para gente."</f>
        <v>Por gentileza, colocar o número do *Pedido 047249* na nota que irá emitir para gente.</v>
      </c>
    </row>
    <row r="60" spans="1:14" ht="15" customHeight="1">
      <c r="A60" s="4" t="s">
        <v>76</v>
      </c>
      <c r="B60" s="1" t="s">
        <v>50</v>
      </c>
      <c r="C60" s="16">
        <v>45968</v>
      </c>
      <c r="D60" s="1" t="s">
        <v>455</v>
      </c>
      <c r="E60" s="1" t="str">
        <f>_xlfn.XLOOKUP(F60,UTIL!Q:Q,UTIL!N:N,"-")</f>
        <v>010273940</v>
      </c>
      <c r="F60" s="15" t="s">
        <v>456</v>
      </c>
      <c r="G60" s="14">
        <v>2780</v>
      </c>
      <c r="H60" s="4" t="s">
        <v>381</v>
      </c>
      <c r="I60" s="15">
        <v>2708</v>
      </c>
      <c r="J60" s="16">
        <v>45972</v>
      </c>
      <c r="K60" s="71" t="s">
        <v>457</v>
      </c>
      <c r="L60" s="15" t="str">
        <f>TEXT($C60,"dd.mm") &amp; " -Ped " &amp; D60 &amp; " -" &amp; F60 &amp; " -R$" &amp; G60 &amp; IF(LEN(TRIM(I60))=0, "", " -NF " &amp; TRIM(I60))</f>
        <v>07.11 -Ped 047383 -SERIE4 - MT 1 -R$2780 -NF 2708</v>
      </c>
      <c r="N60" s="2" t="str">
        <f>"Por gentileza, colocar o número do *Pedido "&amp;PEDIDOS[[#This Row],[PDDO]]&amp;"* na nota que irá emitir para gente."</f>
        <v>Por gentileza, colocar o número do *Pedido 047383* na nota que irá emitir para gente.</v>
      </c>
    </row>
    <row r="61" spans="1:14" ht="15" customHeight="1">
      <c r="A61" s="4" t="s">
        <v>76</v>
      </c>
      <c r="B61" s="1" t="s">
        <v>50</v>
      </c>
      <c r="C61" s="16">
        <v>45968</v>
      </c>
      <c r="D61" s="1" t="s">
        <v>455</v>
      </c>
      <c r="E61" s="1" t="str">
        <f>_xlfn.XLOOKUP(F61,UTIL!Q:Q,UTIL!N:N,"-")</f>
        <v>010273940</v>
      </c>
      <c r="F61" s="15" t="s">
        <v>456</v>
      </c>
      <c r="G61" s="14">
        <v>840</v>
      </c>
      <c r="H61" s="4" t="s">
        <v>381</v>
      </c>
      <c r="I61" s="15">
        <v>2374</v>
      </c>
      <c r="J61" s="16">
        <v>45972</v>
      </c>
      <c r="K61" s="71" t="s">
        <v>458</v>
      </c>
      <c r="L61" s="15" t="str">
        <f>TEXT($C61,"dd.mm") &amp; " -Ped " &amp; D61 &amp; " -" &amp; F61 &amp; " -R$" &amp; G61 &amp; IF(LEN(TRIM(I61))=0, "", " -NF " &amp; TRIM(I61))</f>
        <v>07.11 -Ped 047383 -SERIE4 - MT 1 -R$840 -NF 2374</v>
      </c>
      <c r="N61" s="2" t="str">
        <f>"Por gentileza, colocar o número do *Pedido "&amp;PEDIDOS[[#This Row],[PDDO]]&amp;"* na nota que irá emitir para gente."</f>
        <v>Por gentileza, colocar o número do *Pedido 047383* na nota que irá emitir para gente.</v>
      </c>
    </row>
    <row r="62" spans="1:14" ht="15" customHeight="1">
      <c r="A62" s="4" t="s">
        <v>6</v>
      </c>
      <c r="B62" s="1" t="s">
        <v>73</v>
      </c>
      <c r="C62" s="16">
        <v>45964</v>
      </c>
      <c r="D62" s="1" t="s">
        <v>459</v>
      </c>
      <c r="E62" s="1" t="str">
        <f>_xlfn.XLOOKUP(F62,UTIL!Q:Q,UTIL!N:N,"-")</f>
        <v>049138592</v>
      </c>
      <c r="F62" s="15" t="s">
        <v>51</v>
      </c>
      <c r="G62" s="14">
        <v>245</v>
      </c>
      <c r="H62" s="4" t="s">
        <v>381</v>
      </c>
      <c r="I62" s="15">
        <v>243</v>
      </c>
      <c r="J62" s="16">
        <v>45971</v>
      </c>
      <c r="K62" s="71"/>
      <c r="L62" s="15" t="str">
        <f>TEXT($C62,"dd.mm") &amp; " -Ped " &amp; D62 &amp; " -" &amp; F62 &amp; " -R$" &amp; G62 &amp; IF(LEN(TRIM(I62))=0, "", " -NF " &amp; TRIM(I62))</f>
        <v>03.11 -Ped 047244 -DELTA MOTOS COURIER -R$245 -NF 243</v>
      </c>
      <c r="N62" s="2" t="str">
        <f>"Por gentileza, colocar o número do *Pedido "&amp;PEDIDOS[[#This Row],[PDDO]]&amp;"* na nota que irá emitir para gente."</f>
        <v>Por gentileza, colocar o número do *Pedido 047244* na nota que irá emitir para gente.</v>
      </c>
    </row>
    <row r="63" spans="1:14" ht="15" customHeight="1">
      <c r="A63" s="4" t="s">
        <v>6</v>
      </c>
      <c r="B63" s="1" t="s">
        <v>72</v>
      </c>
      <c r="C63" s="16">
        <v>45965</v>
      </c>
      <c r="D63" s="1" t="s">
        <v>460</v>
      </c>
      <c r="E63" s="1" t="str">
        <f>_xlfn.XLOOKUP(F63,UTIL!Q:Q,UTIL!N:N,"-")</f>
        <v>061196032</v>
      </c>
      <c r="F63" s="15" t="s">
        <v>81</v>
      </c>
      <c r="G63" s="14">
        <v>80</v>
      </c>
      <c r="H63" s="4" t="s">
        <v>381</v>
      </c>
      <c r="I63" s="15">
        <v>51</v>
      </c>
      <c r="J63" s="16">
        <v>45971</v>
      </c>
      <c r="K63" s="71"/>
      <c r="L63" s="15" t="str">
        <f>TEXT($C63,"dd.mm") &amp; " -Ped " &amp; D63 &amp; " -" &amp; F63 &amp; " -R$" &amp; G63 &amp; IF(LEN(TRIM(I63))=0, "", " -NF " &amp; TRIM(I63))</f>
        <v>04.11 -Ped 047437 -ANDREIA R. COURIER -R$80 -NF 51</v>
      </c>
      <c r="N63" s="2" t="str">
        <f>"Por gentileza, colocar o número do *Pedido "&amp;PEDIDOS[[#This Row],[PDDO]]&amp;"* na nota que irá emitir para gente."</f>
        <v>Por gentileza, colocar o número do *Pedido 047437* na nota que irá emitir para gente.</v>
      </c>
    </row>
    <row r="64" spans="1:14" ht="15" customHeight="1">
      <c r="A64" s="4" t="s">
        <v>6</v>
      </c>
      <c r="B64" s="1" t="s">
        <v>49</v>
      </c>
      <c r="C64" s="16">
        <v>45964</v>
      </c>
      <c r="D64" s="1" t="s">
        <v>461</v>
      </c>
      <c r="E64" s="1" t="str">
        <f>_xlfn.XLOOKUP(F64,UTIL!Q:Q,UTIL!N:N,"-")</f>
        <v>049138592</v>
      </c>
      <c r="F64" s="15" t="s">
        <v>51</v>
      </c>
      <c r="G64" s="14">
        <v>990</v>
      </c>
      <c r="H64" s="4" t="s">
        <v>381</v>
      </c>
      <c r="I64" s="15">
        <v>244</v>
      </c>
      <c r="J64" s="16">
        <v>45970</v>
      </c>
      <c r="K64" s="71"/>
      <c r="L64" s="15" t="str">
        <f>TEXT($C64,"dd.mm") &amp; " -Ped " &amp; D64 &amp; " -" &amp; F64 &amp; " -R$" &amp; G64 &amp; IF(LEN(TRIM(I64))=0, "", " -NF " &amp; TRIM(I64))</f>
        <v>03.11 -Ped 047243 -DELTA MOTOS COURIER -R$990 -NF 244</v>
      </c>
      <c r="N64" s="2" t="str">
        <f>"Por gentileza, colocar o número do *Pedido "&amp;PEDIDOS[[#This Row],[PDDO]]&amp;"* na nota que irá emitir para gente."</f>
        <v>Por gentileza, colocar o número do *Pedido 047243* na nota que irá emitir para gente.</v>
      </c>
    </row>
    <row r="65" spans="1:14" ht="15" customHeight="1">
      <c r="A65" s="4" t="s">
        <v>6</v>
      </c>
      <c r="B65" s="1" t="s">
        <v>58</v>
      </c>
      <c r="C65" s="16">
        <v>45964</v>
      </c>
      <c r="D65" s="1" t="s">
        <v>462</v>
      </c>
      <c r="E65" s="1" t="str">
        <f>_xlfn.XLOOKUP(F65,UTIL!Q:Q,UTIL!N:N,"-")</f>
        <v>049138592</v>
      </c>
      <c r="F65" s="15" t="s">
        <v>51</v>
      </c>
      <c r="G65" s="14">
        <v>180</v>
      </c>
      <c r="H65" s="4" t="s">
        <v>381</v>
      </c>
      <c r="I65" s="15">
        <v>245</v>
      </c>
      <c r="J65" s="16">
        <v>45969</v>
      </c>
      <c r="K65" s="71" t="s">
        <v>463</v>
      </c>
      <c r="L65" s="15" t="str">
        <f>TEXT($C65,"dd.mm") &amp; " -Ped " &amp; D65 &amp; " -" &amp; F65 &amp; " -R$" &amp; G65 &amp; IF(LEN(TRIM(I65))=0, "", " -NF " &amp; TRIM(I65))</f>
        <v>03.11 -Ped 047233 -DELTA MOTOS COURIER -R$180 -NF 245</v>
      </c>
      <c r="N65" s="2" t="str">
        <f>"Por gentileza, colocar o número do *Pedido "&amp;PEDIDOS[[#This Row],[PDDO]]&amp;"* na nota que irá emitir para gente."</f>
        <v>Por gentileza, colocar o número do *Pedido 047233* na nota que irá emitir para gente.</v>
      </c>
    </row>
    <row r="66" spans="1:14" ht="15" customHeight="1">
      <c r="A66" s="4" t="s">
        <v>6</v>
      </c>
      <c r="B66" s="1" t="s">
        <v>60</v>
      </c>
      <c r="C66" s="16">
        <v>45964</v>
      </c>
      <c r="D66" s="1" t="s">
        <v>464</v>
      </c>
      <c r="E66" s="1" t="str">
        <f>_xlfn.XLOOKUP(F66,UTIL!Q:Q,UTIL!N:N,"-")</f>
        <v>049138592</v>
      </c>
      <c r="F66" s="15" t="s">
        <v>51</v>
      </c>
      <c r="G66" s="14">
        <v>550</v>
      </c>
      <c r="H66" s="4" t="s">
        <v>381</v>
      </c>
      <c r="I66" s="15">
        <v>246</v>
      </c>
      <c r="J66" s="16">
        <v>45968</v>
      </c>
      <c r="K66" s="71"/>
      <c r="L66" s="15" t="str">
        <f>TEXT($C66,"dd.mm") &amp; " -Ped " &amp; D66 &amp; " -" &amp; F66 &amp; " -R$" &amp; G66 &amp; IF(LEN(TRIM(I66))=0, "", " -NF " &amp; TRIM(I66))</f>
        <v>03.11 -Ped 047246 -DELTA MOTOS COURIER -R$550 -NF 246</v>
      </c>
      <c r="N66" s="2" t="str">
        <f>"Por gentileza, colocar o número do *Pedido "&amp;PEDIDOS[[#This Row],[PDDO]]&amp;"* na nota que irá emitir para gente."</f>
        <v>Por gentileza, colocar o número do *Pedido 047246* na nota que irá emitir para gente.</v>
      </c>
    </row>
    <row r="67" spans="1:14" ht="15" customHeight="1">
      <c r="A67" s="4" t="s">
        <v>382</v>
      </c>
      <c r="B67" s="1" t="s">
        <v>49</v>
      </c>
      <c r="C67" s="16">
        <v>45965</v>
      </c>
      <c r="D67" s="1" t="s">
        <v>465</v>
      </c>
      <c r="E67" s="1" t="str">
        <f>_xlfn.XLOOKUP(F67,UTIL!Q:Q,UTIL!N:N,"-")</f>
        <v>006914002</v>
      </c>
      <c r="F67" s="15" t="s">
        <v>399</v>
      </c>
      <c r="G67" s="14">
        <v>1295</v>
      </c>
      <c r="H67" s="4" t="s">
        <v>381</v>
      </c>
      <c r="I67" s="15">
        <v>186</v>
      </c>
      <c r="J67" s="16">
        <v>45968</v>
      </c>
      <c r="K67" s="71" t="s">
        <v>466</v>
      </c>
      <c r="L67" s="15" t="str">
        <f>TEXT($C67,"dd.mm") &amp; " -Ped " &amp; D67 &amp; " -" &amp; F67 &amp; " -R$" &amp; G67 &amp; IF(LEN(TRIM(I67))=0, "", " -NF " &amp; TRIM(I67))</f>
        <v>04.11 -Ped 047315 -TRANSCAPITINGA-TR MAQ -R$1295 -NF 186</v>
      </c>
      <c r="N67" s="2" t="str">
        <f>"Por gentileza, colocar o número do *Pedido "&amp;PEDIDOS[[#This Row],[PDDO]]&amp;"* na nota que irá emitir para gente."</f>
        <v>Por gentileza, colocar o número do *Pedido 047315* na nota que irá emitir para gente.</v>
      </c>
    </row>
    <row r="68" spans="1:14" ht="15" customHeight="1">
      <c r="A68" s="4" t="s">
        <v>382</v>
      </c>
      <c r="B68" s="1" t="s">
        <v>49</v>
      </c>
      <c r="C68" s="16">
        <v>45966</v>
      </c>
      <c r="D68" s="1" t="s">
        <v>465</v>
      </c>
      <c r="E68" s="1" t="str">
        <f>_xlfn.XLOOKUP(F68,UTIL!Q:Q,UTIL!N:N,"-")</f>
        <v>006914002</v>
      </c>
      <c r="F68" s="15" t="s">
        <v>399</v>
      </c>
      <c r="G68" s="14">
        <v>975</v>
      </c>
      <c r="H68" s="4" t="s">
        <v>381</v>
      </c>
      <c r="I68" s="15">
        <v>186</v>
      </c>
      <c r="J68" s="16">
        <v>45968</v>
      </c>
      <c r="K68" s="71" t="s">
        <v>467</v>
      </c>
      <c r="L68" s="15" t="str">
        <f>TEXT($C68,"dd.mm") &amp; " -Ped " &amp; D68 &amp; " -" &amp; F68 &amp; " -R$" &amp; G68 &amp; IF(LEN(TRIM(I68))=0, "", " -NF " &amp; TRIM(I68))</f>
        <v>05.11 -Ped 047315 -TRANSCAPITINGA-TR MAQ -R$975 -NF 186</v>
      </c>
      <c r="N68" s="2" t="str">
        <f>"Por gentileza, colocar o número do *Pedido "&amp;PEDIDOS[[#This Row],[PDDO]]&amp;"* na nota que irá emitir para gente."</f>
        <v>Por gentileza, colocar o número do *Pedido 047315* na nota que irá emitir para gente.</v>
      </c>
    </row>
    <row r="69" spans="1:14" ht="15" customHeight="1">
      <c r="A69" s="4" t="s">
        <v>6</v>
      </c>
      <c r="B69" s="1" t="s">
        <v>59</v>
      </c>
      <c r="C69" s="16">
        <v>45967</v>
      </c>
      <c r="D69" s="1" t="s">
        <v>468</v>
      </c>
      <c r="E69" s="1" t="str">
        <f>_xlfn.XLOOKUP(F69,UTIL!Q:Q,UTIL!N:N,"-")</f>
        <v>012772524</v>
      </c>
      <c r="F69" s="15" t="s">
        <v>74</v>
      </c>
      <c r="G69" s="14">
        <v>1860</v>
      </c>
      <c r="H69" s="4" t="s">
        <v>381</v>
      </c>
      <c r="I69" s="15">
        <v>3300</v>
      </c>
      <c r="J69" s="16">
        <v>45968</v>
      </c>
      <c r="K69" s="71" t="s">
        <v>36</v>
      </c>
      <c r="L69" s="15" t="str">
        <f>TEXT($C69,"dd.mm") &amp; " -Ped " &amp; D69 &amp; " -" &amp; F69 &amp; " -R$" &amp; G69 &amp; IF(LEN(TRIM(I69))=0, "", " -NF " &amp; TRIM(I69))</f>
        <v>06.11 -Ped 047349 -UNIBOY COURIER -R$1860 -NF 3300</v>
      </c>
      <c r="N69" s="2" t="str">
        <f>"Por gentileza, colocar o número do *Pedido "&amp;PEDIDOS[[#This Row],[PDDO]]&amp;"* na nota que irá emitir para gente."</f>
        <v>Por gentileza, colocar o número do *Pedido 047349* na nota que irá emitir para gente.</v>
      </c>
    </row>
    <row r="70" spans="1:14" ht="15" customHeight="1">
      <c r="A70" s="4" t="s">
        <v>5</v>
      </c>
      <c r="B70" s="1" t="s">
        <v>49</v>
      </c>
      <c r="C70" s="16">
        <v>45962</v>
      </c>
      <c r="D70" s="72" t="s">
        <v>465</v>
      </c>
      <c r="E70" s="1" t="str">
        <f>_xlfn.XLOOKUP(F70,UTIL!Q:Q,UTIL!N:N,"-")</f>
        <v>006914002</v>
      </c>
      <c r="F70" s="15" t="s">
        <v>399</v>
      </c>
      <c r="G70" s="14">
        <v>1000</v>
      </c>
      <c r="H70" s="4" t="s">
        <v>381</v>
      </c>
      <c r="I70" s="15" t="s">
        <v>469</v>
      </c>
      <c r="J70" s="16">
        <v>45967</v>
      </c>
      <c r="K70" s="71" t="s">
        <v>470</v>
      </c>
      <c r="L70" s="15" t="str">
        <f>TEXT($C70,"dd.mm") &amp; " -Ped " &amp; D70 &amp; " -" &amp; F70 &amp; " -R$" &amp; G70 &amp; IF(LEN(TRIM(I70))=0, "", " -NF " &amp; TRIM(I70))</f>
        <v>01.11 -Ped 047315 -TRANSCAPITINGA-TR MAQ -R$1000 -NF fin</v>
      </c>
      <c r="N70" s="2" t="str">
        <f>"Por gentileza, colocar o número do *Pedido "&amp;PEDIDOS[[#This Row],[PDDO]]&amp;"* na nota que irá emitir para gente."</f>
        <v>Por gentileza, colocar o número do *Pedido 047315* na nota que irá emitir para gente.</v>
      </c>
    </row>
    <row r="71" spans="1:14" ht="15" customHeight="1">
      <c r="A71" s="4" t="s">
        <v>6</v>
      </c>
      <c r="B71" s="1" t="s">
        <v>72</v>
      </c>
      <c r="C71" s="16">
        <v>45964</v>
      </c>
      <c r="D71" s="1" t="s">
        <v>471</v>
      </c>
      <c r="E71" s="1" t="str">
        <f>_xlfn.XLOOKUP(F71,UTIL!Q:Q,UTIL!N:N,"-")</f>
        <v>049138592</v>
      </c>
      <c r="F71" s="15" t="s">
        <v>51</v>
      </c>
      <c r="G71" s="14">
        <v>1210</v>
      </c>
      <c r="H71" s="4" t="s">
        <v>381</v>
      </c>
      <c r="I71" s="15">
        <v>247</v>
      </c>
      <c r="J71" s="16">
        <v>45967</v>
      </c>
      <c r="K71" s="71" t="s">
        <v>472</v>
      </c>
      <c r="L71" s="15" t="str">
        <f>TEXT($C71,"dd.mm") &amp; " -Ped " &amp; D71 &amp; " -" &amp; F71 &amp; " -R$" &amp; G71 &amp; IF(LEN(TRIM(I71))=0, "", " -NF " &amp; TRIM(I71))</f>
        <v>03.11 -Ped 047247 -DELTA MOTOS COURIER -R$1210 -NF 247</v>
      </c>
      <c r="N71" s="2" t="str">
        <f>"Por gentileza, colocar o número do *Pedido "&amp;PEDIDOS[[#This Row],[PDDO]]&amp;"* na nota que irá emitir para gente."</f>
        <v>Por gentileza, colocar o número do *Pedido 047247* na nota que irá emitir para gente.</v>
      </c>
    </row>
    <row r="72" spans="1:14" ht="15" customHeight="1">
      <c r="A72" s="4" t="s">
        <v>382</v>
      </c>
      <c r="B72" s="1" t="s">
        <v>58</v>
      </c>
      <c r="C72" s="16">
        <v>45965</v>
      </c>
      <c r="D72" s="1" t="s">
        <v>473</v>
      </c>
      <c r="E72" s="1" t="str">
        <f>_xlfn.XLOOKUP(F72,UTIL!Q:Q,UTIL!N:N,"-")</f>
        <v>032878844</v>
      </c>
      <c r="F72" s="15" t="s">
        <v>474</v>
      </c>
      <c r="G72" s="14">
        <v>910</v>
      </c>
      <c r="H72" s="4" t="s">
        <v>381</v>
      </c>
      <c r="I72" s="15">
        <v>177</v>
      </c>
      <c r="J72" s="16">
        <v>45967</v>
      </c>
      <c r="K72" s="71" t="s">
        <v>475</v>
      </c>
      <c r="L72" s="15" t="str">
        <f>TEXT($C72,"dd.mm") &amp; " -Ped " &amp; D72 &amp; " -" &amp; F72 &amp; " -R$" &amp; G72 &amp; IF(LEN(TRIM(I72))=0, "", " -NF " &amp; TRIM(I72))</f>
        <v>04.11 -Ped 047269 -STOSKI -TR MAQ -R$910 -NF 177</v>
      </c>
      <c r="N72" s="2" t="str">
        <f>"Por gentileza, colocar o número do *Pedido "&amp;PEDIDOS[[#This Row],[PDDO]]&amp;"* na nota que irá emitir para gente."</f>
        <v>Por gentileza, colocar o número do *Pedido 047269* na nota que irá emitir para gente.</v>
      </c>
    </row>
    <row r="73" spans="1:14" ht="15" customHeight="1">
      <c r="A73" s="4" t="s">
        <v>6</v>
      </c>
      <c r="B73" s="1" t="s">
        <v>73</v>
      </c>
      <c r="C73" s="16">
        <v>45965</v>
      </c>
      <c r="D73" s="1" t="s">
        <v>476</v>
      </c>
      <c r="E73" s="1" t="str">
        <f>_xlfn.XLOOKUP(F73,UTIL!Q:Q,UTIL!N:N,"-")</f>
        <v>034154225</v>
      </c>
      <c r="F73" s="15" t="s">
        <v>84</v>
      </c>
      <c r="G73" s="14">
        <v>150</v>
      </c>
      <c r="H73" s="4" t="s">
        <v>381</v>
      </c>
      <c r="I73" s="15">
        <v>420</v>
      </c>
      <c r="J73" s="16">
        <v>45967</v>
      </c>
      <c r="K73" s="71" t="s">
        <v>477</v>
      </c>
      <c r="L73" s="15" t="str">
        <f>TEXT($C73,"dd.mm") &amp; " -Ped " &amp; D73 &amp; " -" &amp; F73 &amp; " -R$" &amp; G73 &amp; IF(LEN(TRIM(I73))=0, "", " -NF " &amp; TRIM(I73))</f>
        <v>04.11 -Ped 047199 -JOHN ELVIS COURIER -R$150 -NF 420</v>
      </c>
      <c r="N73" s="2" t="str">
        <f>"Por gentileza, colocar o número do *Pedido "&amp;PEDIDOS[[#This Row],[PDDO]]&amp;"* na nota que irá emitir para gente."</f>
        <v>Por gentileza, colocar o número do *Pedido 047199* na nota que irá emitir para gente.</v>
      </c>
    </row>
    <row r="74" spans="1:14" ht="15" customHeight="1">
      <c r="A74" s="4" t="s">
        <v>6</v>
      </c>
      <c r="B74" s="1" t="s">
        <v>59</v>
      </c>
      <c r="C74" s="16">
        <v>45966</v>
      </c>
      <c r="D74" s="1" t="s">
        <v>452</v>
      </c>
      <c r="E74" s="1" t="str">
        <f>_xlfn.XLOOKUP(F74,UTIL!Q:Q,UTIL!N:N,"-")</f>
        <v>051496564</v>
      </c>
      <c r="F74" s="15" t="s">
        <v>67</v>
      </c>
      <c r="G74" s="14">
        <v>520</v>
      </c>
      <c r="H74" s="4" t="s">
        <v>381</v>
      </c>
      <c r="I74" s="15">
        <v>408</v>
      </c>
      <c r="J74" s="16">
        <v>45967</v>
      </c>
      <c r="K74" s="71" t="s">
        <v>478</v>
      </c>
      <c r="L74" s="15" t="str">
        <f>TEXT($C74,"dd.mm") &amp; " -Ped " &amp; D74 &amp; " -" &amp; F74 &amp; " -R$" &amp; G74 &amp; IF(LEN(TRIM(I74))=0, "", " -NF " &amp; TRIM(I74))</f>
        <v>05.11 -Ped 047267 -MARCOS D. COURIER -R$520 -NF 408</v>
      </c>
      <c r="N74" s="2" t="str">
        <f>"Por gentileza, colocar o número do *Pedido "&amp;PEDIDOS[[#This Row],[PDDO]]&amp;"* na nota que irá emitir para gente."</f>
        <v>Por gentileza, colocar o número do *Pedido 047267* na nota que irá emitir para gente.</v>
      </c>
    </row>
    <row r="75" spans="1:14" ht="15" customHeight="1">
      <c r="A75" s="4" t="s">
        <v>6</v>
      </c>
      <c r="B75" s="1" t="s">
        <v>60</v>
      </c>
      <c r="C75" s="16">
        <v>45966</v>
      </c>
      <c r="D75" s="1" t="s">
        <v>479</v>
      </c>
      <c r="E75" s="1" t="str">
        <f>_xlfn.XLOOKUP(F75,UTIL!Q:Q,UTIL!N:N,"-")</f>
        <v>051496564</v>
      </c>
      <c r="F75" s="15" t="s">
        <v>67</v>
      </c>
      <c r="G75" s="14">
        <v>180</v>
      </c>
      <c r="H75" s="4" t="s">
        <v>381</v>
      </c>
      <c r="I75" s="15">
        <v>409</v>
      </c>
      <c r="J75" s="16">
        <v>45967</v>
      </c>
      <c r="K75" s="71" t="s">
        <v>480</v>
      </c>
      <c r="L75" s="15" t="str">
        <f>TEXT($C75,"dd.mm") &amp; " -Ped " &amp; D75 &amp; " -" &amp; F75 &amp; " -R$" &amp; G75 &amp; IF(LEN(TRIM(I75))=0, "", " -NF " &amp; TRIM(I75))</f>
        <v>05.11 -Ped 047268 -MARCOS D. COURIER -R$180 -NF 409</v>
      </c>
      <c r="N75" s="2" t="str">
        <f>"Por gentileza, colocar o número do *Pedido "&amp;PEDIDOS[[#This Row],[PDDO]]&amp;"* na nota que irá emitir para gente."</f>
        <v>Por gentileza, colocar o número do *Pedido 047268* na nota que irá emitir para gente.</v>
      </c>
    </row>
    <row r="76" spans="1:14" ht="15" customHeight="1">
      <c r="A76" s="4" t="s">
        <v>7</v>
      </c>
      <c r="B76" s="1" t="s">
        <v>50</v>
      </c>
      <c r="C76" s="16">
        <v>45966</v>
      </c>
      <c r="D76" s="1" t="s">
        <v>481</v>
      </c>
      <c r="E76" s="1" t="str">
        <f>_xlfn.XLOOKUP(F76,UTIL!Q:Q,UTIL!N:N,"-")</f>
        <v>080227796</v>
      </c>
      <c r="F76" s="15" t="s">
        <v>68</v>
      </c>
      <c r="G76" s="14">
        <v>529.48</v>
      </c>
      <c r="H76" s="4" t="s">
        <v>381</v>
      </c>
      <c r="I76" s="15">
        <v>348407</v>
      </c>
      <c r="J76" s="16">
        <v>45967</v>
      </c>
      <c r="K76" s="71" t="s">
        <v>482</v>
      </c>
      <c r="L76" s="15" t="str">
        <f>TEXT($C76,"dd.mm") &amp; " -Ped " &amp; D76 &amp; " -" &amp; F76 &amp; " -R$" &amp; G76 &amp; IF(LEN(TRIM(I76))=0, "", " -NF " &amp; TRIM(I76))</f>
        <v>05.11 -Ped 047348 -PRINCESA -TR PEÇA -R$529,48 -NF 348407</v>
      </c>
      <c r="N76" s="2" t="str">
        <f>"Por gentileza, colocar o número do *Pedido "&amp;PEDIDOS[[#This Row],[PDDO]]&amp;"* na nota que irá emitir para gente."</f>
        <v>Por gentileza, colocar o número do *Pedido 047348* na nota que irá emitir para gente.</v>
      </c>
    </row>
    <row r="77" spans="1:14" ht="15" customHeight="1">
      <c r="A77" s="4" t="s">
        <v>7</v>
      </c>
      <c r="B77" s="1" t="s">
        <v>50</v>
      </c>
      <c r="C77" s="16">
        <v>45966</v>
      </c>
      <c r="D77" s="1" t="s">
        <v>481</v>
      </c>
      <c r="E77" s="1" t="str">
        <f>_xlfn.XLOOKUP(F77,UTIL!Q:Q,UTIL!N:N,"-")</f>
        <v>080227796</v>
      </c>
      <c r="F77" s="15" t="s">
        <v>68</v>
      </c>
      <c r="G77" s="14">
        <v>371.14</v>
      </c>
      <c r="H77" s="4" t="s">
        <v>381</v>
      </c>
      <c r="I77" s="15">
        <v>336939</v>
      </c>
      <c r="J77" s="16">
        <v>45967</v>
      </c>
      <c r="K77" s="71" t="s">
        <v>482</v>
      </c>
      <c r="L77" s="15" t="str">
        <f>TEXT($C77,"dd.mm") &amp; " -Ped " &amp; D77 &amp; " -" &amp; F77 &amp; " -R$" &amp; G77 &amp; IF(LEN(TRIM(I77))=0, "", " -NF " &amp; TRIM(I77))</f>
        <v>05.11 -Ped 047348 -PRINCESA -TR PEÇA -R$371,14 -NF 336939</v>
      </c>
      <c r="N77" s="2" t="str">
        <f>"Por gentileza, colocar o número do *Pedido "&amp;PEDIDOS[[#This Row],[PDDO]]&amp;"* na nota que irá emitir para gente."</f>
        <v>Por gentileza, colocar o número do *Pedido 047348* na nota que irá emitir para gente.</v>
      </c>
    </row>
    <row r="78" spans="1:14" ht="15" customHeight="1">
      <c r="A78" s="4" t="s">
        <v>6</v>
      </c>
      <c r="B78" s="1" t="s">
        <v>72</v>
      </c>
      <c r="C78" s="16">
        <v>45964</v>
      </c>
      <c r="D78" s="1" t="s">
        <v>483</v>
      </c>
      <c r="E78" s="1" t="str">
        <f>_xlfn.XLOOKUP(F78,UTIL!Q:Q,UTIL!N:N,"-")</f>
        <v>061196032</v>
      </c>
      <c r="F78" s="15" t="s">
        <v>81</v>
      </c>
      <c r="G78" s="14">
        <v>200</v>
      </c>
      <c r="H78" s="4" t="s">
        <v>381</v>
      </c>
      <c r="I78" s="15">
        <v>48</v>
      </c>
      <c r="J78" s="16">
        <v>45966</v>
      </c>
      <c r="K78" s="71"/>
      <c r="L78" s="15" t="str">
        <f>TEXT($C78,"dd.mm") &amp; " -Ped " &amp; D78 &amp; " -" &amp; F78 &amp; " -R$" &amp; G78 &amp; IF(LEN(TRIM(I78))=0, "", " -NF " &amp; TRIM(I78))</f>
        <v>03.11 -Ped 047258 -ANDREIA R. COURIER -R$200 -NF 48</v>
      </c>
      <c r="N78" s="2" t="str">
        <f>"Por gentileza, colocar o número do *Pedido "&amp;PEDIDOS[[#This Row],[PDDO]]&amp;"* na nota que irá emitir para gente."</f>
        <v>Por gentileza, colocar o número do *Pedido 047258* na nota que irá emitir para gente.</v>
      </c>
    </row>
    <row r="79" spans="1:14" ht="15" customHeight="1">
      <c r="A79" s="4" t="s">
        <v>7</v>
      </c>
      <c r="B79" s="1" t="s">
        <v>49</v>
      </c>
      <c r="C79" s="16">
        <v>45964</v>
      </c>
      <c r="D79" s="1" t="s">
        <v>484</v>
      </c>
      <c r="E79" s="1" t="str">
        <f>_xlfn.XLOOKUP(F79,UTIL!Q:Q,UTIL!N:N,"-")</f>
        <v>027525938</v>
      </c>
      <c r="F79" s="15" t="s">
        <v>62</v>
      </c>
      <c r="G79" s="14">
        <v>1100</v>
      </c>
      <c r="H79" s="4" t="s">
        <v>381</v>
      </c>
      <c r="I79" s="15">
        <v>2967</v>
      </c>
      <c r="J79" s="16">
        <v>45965</v>
      </c>
      <c r="K79" s="71" t="s">
        <v>485</v>
      </c>
      <c r="L79" s="15" t="str">
        <f>TEXT($C79,"dd.mm") &amp; " -Ped " &amp; D79 &amp; " -" &amp; F79 &amp; " -R$" &amp; G79 &amp; IF(LEN(TRIM(I79))=0, "", " -NF " &amp; TRIM(I79))</f>
        <v>03.11 -Ped 047186 -ESC -TR PEÇA -R$1100 -NF 2967</v>
      </c>
      <c r="N79" s="2" t="str">
        <f>"Por gentileza, colocar o número do *Pedido "&amp;PEDIDOS[[#This Row],[PDDO]]&amp;"* na nota que irá emitir para gente."</f>
        <v>Por gentileza, colocar o número do *Pedido 047186* na nota que irá emitir para gente.</v>
      </c>
    </row>
    <row r="80" spans="1:14" ht="15" customHeight="1">
      <c r="A80" s="4" t="s">
        <v>7</v>
      </c>
      <c r="B80" s="1" t="s">
        <v>58</v>
      </c>
      <c r="C80" s="16">
        <v>45964</v>
      </c>
      <c r="D80" s="1" t="s">
        <v>486</v>
      </c>
      <c r="E80" s="1" t="str">
        <f>_xlfn.XLOOKUP(F80,UTIL!Q:Q,UTIL!N:N,"-")</f>
        <v>027525938</v>
      </c>
      <c r="F80" s="15" t="s">
        <v>62</v>
      </c>
      <c r="G80" s="14">
        <v>550</v>
      </c>
      <c r="H80" s="4" t="s">
        <v>381</v>
      </c>
      <c r="I80" s="15">
        <v>2965</v>
      </c>
      <c r="J80" s="16">
        <v>45965</v>
      </c>
      <c r="K80" s="71" t="s">
        <v>485</v>
      </c>
      <c r="L80" s="15" t="str">
        <f>TEXT($C80,"dd.mm") &amp; " -Ped " &amp; D80 &amp; " -" &amp; F80 &amp; " -R$" &amp; G80 &amp; IF(LEN(TRIM(I80))=0, "", " -NF " &amp; TRIM(I80))</f>
        <v>03.11 -Ped 047187 -ESC -TR PEÇA -R$550 -NF 2965</v>
      </c>
      <c r="N80" s="2" t="str">
        <f>"Por gentileza, colocar o número do *Pedido "&amp;PEDIDOS[[#This Row],[PDDO]]&amp;"* na nota que irá emitir para gente."</f>
        <v>Por gentileza, colocar o número do *Pedido 047187* na nota que irá emitir para gente.</v>
      </c>
    </row>
    <row r="81" spans="1:14" ht="15" customHeight="1">
      <c r="A81" s="4" t="s">
        <v>7</v>
      </c>
      <c r="B81" s="1" t="s">
        <v>50</v>
      </c>
      <c r="C81" s="16">
        <v>45964</v>
      </c>
      <c r="D81" s="1" t="s">
        <v>487</v>
      </c>
      <c r="E81" s="1" t="str">
        <f>_xlfn.XLOOKUP(F81,UTIL!Q:Q,UTIL!N:N,"-")</f>
        <v>027525938</v>
      </c>
      <c r="F81" s="15" t="s">
        <v>62</v>
      </c>
      <c r="G81" s="14">
        <v>600</v>
      </c>
      <c r="H81" s="4" t="s">
        <v>381</v>
      </c>
      <c r="I81" s="15">
        <v>2964</v>
      </c>
      <c r="J81" s="16">
        <v>45965</v>
      </c>
      <c r="K81" s="71" t="s">
        <v>485</v>
      </c>
      <c r="L81" s="15" t="str">
        <f>TEXT($C81,"dd.mm") &amp; " -Ped " &amp; D81 &amp; " -" &amp; F81 &amp; " -R$" &amp; G81 &amp; IF(LEN(TRIM(I81))=0, "", " -NF " &amp; TRIM(I81))</f>
        <v>03.11 -Ped 047188 -ESC -TR PEÇA -R$600 -NF 2964</v>
      </c>
      <c r="N81" s="2" t="str">
        <f>"Por gentileza, colocar o número do *Pedido "&amp;PEDIDOS[[#This Row],[PDDO]]&amp;"* na nota que irá emitir para gente."</f>
        <v>Por gentileza, colocar o número do *Pedido 047188* na nota que irá emitir para gente.</v>
      </c>
    </row>
    <row r="82" spans="1:14" ht="15" customHeight="1">
      <c r="A82" s="4" t="s">
        <v>7</v>
      </c>
      <c r="B82" s="1" t="s">
        <v>73</v>
      </c>
      <c r="C82" s="16">
        <v>45964</v>
      </c>
      <c r="D82" s="1" t="s">
        <v>488</v>
      </c>
      <c r="E82" s="1" t="str">
        <f>_xlfn.XLOOKUP(F82,UTIL!Q:Q,UTIL!N:N,"-")</f>
        <v>027525938</v>
      </c>
      <c r="F82" s="15" t="s">
        <v>62</v>
      </c>
      <c r="G82" s="14">
        <v>550</v>
      </c>
      <c r="H82" s="4" t="s">
        <v>381</v>
      </c>
      <c r="I82" s="15">
        <v>2963</v>
      </c>
      <c r="J82" s="16">
        <v>45965</v>
      </c>
      <c r="K82" s="71" t="s">
        <v>485</v>
      </c>
      <c r="L82" s="15" t="str">
        <f>TEXT($C82,"dd.mm") &amp; " -Ped " &amp; D82 &amp; " -" &amp; F82 &amp; " -R$" &amp; G82 &amp; IF(LEN(TRIM(I82))=0, "", " -NF " &amp; TRIM(I82))</f>
        <v>03.11 -Ped 047189 -ESC -TR PEÇA -R$550 -NF 2963</v>
      </c>
      <c r="N82" s="2" t="str">
        <f>"Por gentileza, colocar o número do *Pedido "&amp;PEDIDOS[[#This Row],[PDDO]]&amp;"* na nota que irá emitir para gente."</f>
        <v>Por gentileza, colocar o número do *Pedido 047189* na nota que irá emitir para gente.</v>
      </c>
    </row>
    <row r="83" spans="1:14" ht="15" customHeight="1">
      <c r="A83" s="4" t="s">
        <v>7</v>
      </c>
      <c r="B83" s="1" t="s">
        <v>59</v>
      </c>
      <c r="C83" s="16">
        <v>45964</v>
      </c>
      <c r="D83" s="1" t="s">
        <v>489</v>
      </c>
      <c r="E83" s="1" t="str">
        <f>_xlfn.XLOOKUP(F83,UTIL!Q:Q,UTIL!N:N,"-")</f>
        <v>027525938</v>
      </c>
      <c r="F83" s="15" t="s">
        <v>62</v>
      </c>
      <c r="G83" s="14">
        <v>850</v>
      </c>
      <c r="H83" s="4" t="s">
        <v>381</v>
      </c>
      <c r="I83" s="15">
        <v>2962</v>
      </c>
      <c r="J83" s="16">
        <v>45965</v>
      </c>
      <c r="K83" s="71" t="s">
        <v>485</v>
      </c>
      <c r="L83" s="15" t="str">
        <f>TEXT($C83,"dd.mm") &amp; " -Ped " &amp; D83 &amp; " -" &amp; F83 &amp; " -R$" &amp; G83 &amp; IF(LEN(TRIM(I83))=0, "", " -NF " &amp; TRIM(I83))</f>
        <v>03.11 -Ped 047190 -ESC -TR PEÇA -R$850 -NF 2962</v>
      </c>
      <c r="N83" s="2" t="str">
        <f>"Por gentileza, colocar o número do *Pedido "&amp;PEDIDOS[[#This Row],[PDDO]]&amp;"* na nota que irá emitir para gente."</f>
        <v>Por gentileza, colocar o número do *Pedido 047190* na nota que irá emitir para gente.</v>
      </c>
    </row>
    <row r="84" spans="1:14" ht="15" customHeight="1">
      <c r="A84" s="4" t="s">
        <v>7</v>
      </c>
      <c r="B84" s="1" t="s">
        <v>60</v>
      </c>
      <c r="C84" s="16">
        <v>45964</v>
      </c>
      <c r="D84" s="1" t="s">
        <v>490</v>
      </c>
      <c r="E84" s="1" t="str">
        <f>_xlfn.XLOOKUP(F84,UTIL!Q:Q,UTIL!N:N,"-")</f>
        <v>027525938</v>
      </c>
      <c r="F84" s="15" t="s">
        <v>62</v>
      </c>
      <c r="G84" s="14">
        <v>1100</v>
      </c>
      <c r="H84" s="4" t="s">
        <v>381</v>
      </c>
      <c r="I84" s="15">
        <v>2969</v>
      </c>
      <c r="J84" s="16">
        <v>45965</v>
      </c>
      <c r="K84" s="71" t="s">
        <v>485</v>
      </c>
      <c r="L84" s="15" t="str">
        <f>TEXT($C84,"dd.mm") &amp; " -Ped " &amp; D84 &amp; " -" &amp; F84 &amp; " -R$" &amp; G84 &amp; IF(LEN(TRIM(I84))=0, "", " -NF " &amp; TRIM(I84))</f>
        <v>03.11 -Ped 047192 -ESC -TR PEÇA -R$1100 -NF 2969</v>
      </c>
      <c r="N84" s="2" t="str">
        <f>"Por gentileza, colocar o número do *Pedido "&amp;PEDIDOS[[#This Row],[PDDO]]&amp;"* na nota que irá emitir para gente."</f>
        <v>Por gentileza, colocar o número do *Pedido 047192* na nota que irá emitir para gente.</v>
      </c>
    </row>
    <row r="85" spans="1:14" ht="15" customHeight="1">
      <c r="A85" s="4" t="s">
        <v>7</v>
      </c>
      <c r="B85" s="1" t="s">
        <v>72</v>
      </c>
      <c r="C85" s="16">
        <v>45964</v>
      </c>
      <c r="D85" s="1" t="s">
        <v>491</v>
      </c>
      <c r="E85" s="1" t="str">
        <f>_xlfn.XLOOKUP(F85,UTIL!Q:Q,UTIL!N:N,"-")</f>
        <v>027525938</v>
      </c>
      <c r="F85" s="15" t="s">
        <v>62</v>
      </c>
      <c r="G85" s="14">
        <v>830</v>
      </c>
      <c r="H85" s="4" t="s">
        <v>381</v>
      </c>
      <c r="I85" s="15">
        <v>2968</v>
      </c>
      <c r="J85" s="16">
        <v>45965</v>
      </c>
      <c r="K85" s="71" t="s">
        <v>485</v>
      </c>
      <c r="L85" s="15" t="str">
        <f>TEXT($C85,"dd.mm") &amp; " -Ped " &amp; D85 &amp; " -" &amp; F85 &amp; " -R$" &amp; G85 &amp; IF(LEN(TRIM(I85))=0, "", " -NF " &amp; TRIM(I85))</f>
        <v>03.11 -Ped 047193 -ESC -TR PEÇA -R$830 -NF 2968</v>
      </c>
      <c r="N85" s="2" t="str">
        <f>"Por gentileza, colocar o número do *Pedido "&amp;PEDIDOS[[#This Row],[PDDO]]&amp;"* na nota que irá emitir para gente."</f>
        <v>Por gentileza, colocar o número do *Pedido 047193* na nota que irá emitir para gente.</v>
      </c>
    </row>
    <row r="86" spans="1:14" ht="15" customHeight="1">
      <c r="A86" s="4" t="s">
        <v>70</v>
      </c>
      <c r="B86" s="1" t="s">
        <v>50</v>
      </c>
      <c r="C86" s="16">
        <v>45965</v>
      </c>
      <c r="D86" s="1" t="s">
        <v>492</v>
      </c>
      <c r="E86" s="1" t="str">
        <f>_xlfn.XLOOKUP(F86,UTIL!Q:Q,UTIL!N:N,"-")</f>
        <v>004892707</v>
      </c>
      <c r="F86" s="15" t="s">
        <v>493</v>
      </c>
      <c r="G86" s="14">
        <v>87.62</v>
      </c>
      <c r="H86" s="4" t="s">
        <v>381</v>
      </c>
      <c r="I86" s="15" t="s">
        <v>494</v>
      </c>
      <c r="J86" s="16">
        <v>45965</v>
      </c>
      <c r="K86" s="71" t="s">
        <v>495</v>
      </c>
      <c r="L86" s="15" t="str">
        <f>TEXT($C86,"dd.mm") &amp; " -Ped " &amp; D86 &amp; " -" &amp; F86 &amp; " -R$" &amp; G86 &amp; IF(LEN(TRIM(I86))=0, "", " -NF " &amp; TRIM(I86))</f>
        <v>04.11 -Ped 047178 -DNIT -R$87,62 -NF BOLETO</v>
      </c>
      <c r="N86" s="2" t="str">
        <f>"Por gentileza, colocar o número do *Pedido "&amp;PEDIDOS[[#This Row],[PDDO]]&amp;"* na nota que irá emitir para gente."</f>
        <v>Por gentileza, colocar o número do *Pedido 047178* na nota que irá emitir para gente.</v>
      </c>
    </row>
    <row r="87" spans="1:14" ht="15" customHeight="1">
      <c r="A87" s="4" t="s">
        <v>63</v>
      </c>
      <c r="B87" s="1" t="s">
        <v>50</v>
      </c>
      <c r="C87" s="16">
        <v>45966</v>
      </c>
      <c r="D87" s="1" t="s">
        <v>496</v>
      </c>
      <c r="E87" s="1" t="str">
        <f>_xlfn.XLOOKUP(F87,UTIL!Q:Q,UTIL!N:N,"-")</f>
        <v>078206513</v>
      </c>
      <c r="F87" s="15" t="s">
        <v>497</v>
      </c>
      <c r="G87" s="14">
        <v>156.18</v>
      </c>
      <c r="H87" s="4" t="s">
        <v>381</v>
      </c>
      <c r="I87" s="15" t="s">
        <v>494</v>
      </c>
      <c r="J87" s="16">
        <v>45964</v>
      </c>
      <c r="K87" s="71" t="s">
        <v>498</v>
      </c>
      <c r="L87" s="15" t="str">
        <f>TEXT($C87,"dd.mm") &amp; " -Ped " &amp; D87 &amp; " -" &amp; F87 &amp; " -R$" &amp; G87 &amp; IF(LEN(TRIM(I87))=0, "", " -NF " &amp; TRIM(I87))</f>
        <v>05.11 -Ped 047117 -DETRAN PR -R$156,18 -NF BOLETO</v>
      </c>
      <c r="N87" s="2" t="str">
        <f>"Por gentileza, colocar o número do *Pedido "&amp;PEDIDOS[[#This Row],[PDDO]]&amp;"* na nota que irá emitir para gente."</f>
        <v>Por gentileza, colocar o número do *Pedido 047117* na nota que irá emitir para gente.</v>
      </c>
    </row>
    <row r="88" spans="1:14" ht="15" customHeight="1">
      <c r="A88" s="4" t="s">
        <v>63</v>
      </c>
      <c r="B88" s="1" t="s">
        <v>50</v>
      </c>
      <c r="C88" s="16">
        <v>45966</v>
      </c>
      <c r="D88" s="1" t="s">
        <v>496</v>
      </c>
      <c r="E88" s="1" t="str">
        <f>_xlfn.XLOOKUP(F88,UTIL!Q:Q,UTIL!N:N,"-")</f>
        <v>078206513</v>
      </c>
      <c r="F88" s="15" t="s">
        <v>497</v>
      </c>
      <c r="G88" s="14">
        <v>94.61</v>
      </c>
      <c r="H88" s="4" t="s">
        <v>381</v>
      </c>
      <c r="I88" s="15" t="s">
        <v>494</v>
      </c>
      <c r="J88" s="16">
        <v>45964</v>
      </c>
      <c r="K88" s="71" t="s">
        <v>499</v>
      </c>
      <c r="L88" s="15" t="str">
        <f>TEXT($C88,"dd.mm") &amp; " -Ped " &amp; D88 &amp; " -" &amp; F88 &amp; " -R$" &amp; G88 &amp; IF(LEN(TRIM(I88))=0, "", " -NF " &amp; TRIM(I88))</f>
        <v>05.11 -Ped 047117 -DETRAN PR -R$94,61 -NF BOLETO</v>
      </c>
      <c r="N88" s="2" t="str">
        <f>"Por gentileza, colocar o número do *Pedido "&amp;PEDIDOS[[#This Row],[PDDO]]&amp;"* na nota que irá emitir para gente."</f>
        <v>Por gentileza, colocar o número do *Pedido 047117* na nota que irá emitir para gente.</v>
      </c>
    </row>
    <row r="89" spans="1:14" ht="15" customHeight="1">
      <c r="A89" s="4" t="s">
        <v>64</v>
      </c>
      <c r="B89" s="1" t="s">
        <v>50</v>
      </c>
      <c r="C89" s="16">
        <v>45971</v>
      </c>
      <c r="D89" s="1" t="s">
        <v>500</v>
      </c>
      <c r="E89" s="1" t="str">
        <f>_xlfn.XLOOKUP(F89,UTIL!Q:Q,UTIL!N:N,"-")</f>
        <v>076669324</v>
      </c>
      <c r="F89" s="15" t="s">
        <v>501</v>
      </c>
      <c r="G89" s="14">
        <v>133.13</v>
      </c>
      <c r="H89" s="4" t="s">
        <v>381</v>
      </c>
      <c r="I89" s="15" t="s">
        <v>494</v>
      </c>
      <c r="J89" s="16">
        <v>45964</v>
      </c>
      <c r="K89" s="71" t="s">
        <v>502</v>
      </c>
      <c r="L89" s="15" t="str">
        <f>TEXT($C89,"dd.mm") &amp; " -Ped " &amp; D89 &amp; " -" &amp; F89 &amp; " -R$" &amp; G89 &amp; IF(LEN(TRIM(I89))=0, "", " -NF " &amp; TRIM(I89))</f>
        <v>10.11 -Ped 047116 -DER - AET VEICULOS -R$133,13 -NF BOLETO</v>
      </c>
      <c r="N89" s="2" t="str">
        <f>"Por gentileza, colocar o número do *Pedido "&amp;PEDIDOS[[#This Row],[PDDO]]&amp;"* na nota que irá emitir para gente."</f>
        <v>Por gentileza, colocar o número do *Pedido 047116* na nota que irá emitir para gente.</v>
      </c>
    </row>
    <row r="90" spans="1:14" ht="15" customHeight="1">
      <c r="A90" s="4" t="s">
        <v>382</v>
      </c>
      <c r="B90" s="1" t="s">
        <v>58</v>
      </c>
      <c r="C90" s="16">
        <v>45962</v>
      </c>
      <c r="D90" s="72" t="s">
        <v>503</v>
      </c>
      <c r="E90" s="1" t="str">
        <f>_xlfn.XLOOKUP(F90,UTIL!Q:Q,UTIL!N:N,"-")</f>
        <v>046304055</v>
      </c>
      <c r="F90" s="15" t="s">
        <v>504</v>
      </c>
      <c r="G90" s="14">
        <v>500</v>
      </c>
      <c r="H90" s="4" t="s">
        <v>381</v>
      </c>
      <c r="K90" s="71"/>
      <c r="L90" s="15" t="str">
        <f>TEXT($C90,"dd.mm") &amp; " -Ped " &amp; D90 &amp; " -" &amp; F90 &amp; " -R$" &amp; G90 &amp; IF(LEN(TRIM(I90))=0, "", " -NF " &amp; TRIM(I90))</f>
        <v>01.11 -Ped 047552 -GRICZYNSKI -TR MAQ -R$500</v>
      </c>
      <c r="N90" s="2" t="str">
        <f>"Por gentileza, colocar o número do *Pedido "&amp;PEDIDOS[[#This Row],[PDDO]]&amp;"* na nota que irá emitir para gente."</f>
        <v>Por gentileza, colocar o número do *Pedido 047552* na nota que irá emitir para gente.</v>
      </c>
    </row>
    <row r="91" spans="1:14" ht="15" customHeight="1">
      <c r="A91" s="4" t="s">
        <v>382</v>
      </c>
      <c r="B91" s="1" t="s">
        <v>58</v>
      </c>
      <c r="C91" s="16">
        <v>45962</v>
      </c>
      <c r="D91" s="72" t="s">
        <v>503</v>
      </c>
      <c r="E91" s="1" t="str">
        <f>_xlfn.XLOOKUP(F91,UTIL!Q:Q,UTIL!N:N,"-")</f>
        <v>046304055</v>
      </c>
      <c r="F91" s="15" t="s">
        <v>504</v>
      </c>
      <c r="G91" s="14">
        <v>300</v>
      </c>
      <c r="H91" s="4" t="s">
        <v>381</v>
      </c>
      <c r="K91" s="71"/>
      <c r="L91" s="15" t="str">
        <f>TEXT($C91,"dd.mm") &amp; " -Ped " &amp; D91 &amp; " -" &amp; F91 &amp; " -R$" &amp; G91 &amp; IF(LEN(TRIM(I91))=0, "", " -NF " &amp; TRIM(I91))</f>
        <v>01.11 -Ped 047552 -GRICZYNSKI -TR MAQ -R$300</v>
      </c>
      <c r="N91" s="2" t="str">
        <f>"Por gentileza, colocar o número do *Pedido "&amp;PEDIDOS[[#This Row],[PDDO]]&amp;"* na nota que irá emitir para gente."</f>
        <v>Por gentileza, colocar o número do *Pedido 047552* na nota que irá emitir para gente.</v>
      </c>
    </row>
    <row r="92" spans="1:14" ht="15" customHeight="1">
      <c r="A92" s="4" t="s">
        <v>382</v>
      </c>
      <c r="B92" s="1" t="s">
        <v>58</v>
      </c>
      <c r="C92" s="16">
        <v>45962</v>
      </c>
      <c r="D92" s="72" t="s">
        <v>503</v>
      </c>
      <c r="E92" s="1" t="str">
        <f>_xlfn.XLOOKUP(F92,UTIL!Q:Q,UTIL!N:N,"-")</f>
        <v>046304055</v>
      </c>
      <c r="F92" s="15" t="s">
        <v>504</v>
      </c>
      <c r="G92" s="14">
        <v>300</v>
      </c>
      <c r="H92" s="4" t="s">
        <v>381</v>
      </c>
      <c r="K92" s="71"/>
      <c r="L92" s="15" t="str">
        <f>TEXT($C92,"dd.mm") &amp; " -Ped " &amp; D92 &amp; " -" &amp; F92 &amp; " -R$" &amp; G92 &amp; IF(LEN(TRIM(I92))=0, "", " -NF " &amp; TRIM(I92))</f>
        <v>01.11 -Ped 047552 -GRICZYNSKI -TR MAQ -R$300</v>
      </c>
      <c r="N92" s="2" t="str">
        <f>"Por gentileza, colocar o número do *Pedido "&amp;PEDIDOS[[#This Row],[PDDO]]&amp;"* na nota que irá emitir para gente."</f>
        <v>Por gentileza, colocar o número do *Pedido 047552* na nota que irá emitir para gente.</v>
      </c>
    </row>
    <row r="93" spans="1:14" ht="15" customHeight="1">
      <c r="A93" s="4" t="s">
        <v>5</v>
      </c>
      <c r="B93" s="1" t="s">
        <v>58</v>
      </c>
      <c r="C93" s="16">
        <v>45972</v>
      </c>
      <c r="D93" s="72" t="s">
        <v>505</v>
      </c>
      <c r="E93" s="1" t="str">
        <f>_xlfn.XLOOKUP(F93,UTIL!Q:Q,UTIL!N:N,"-")</f>
        <v>030877442</v>
      </c>
      <c r="F93" s="15" t="s">
        <v>506</v>
      </c>
      <c r="G93" s="14">
        <v>1262</v>
      </c>
      <c r="H93" s="4" t="s">
        <v>381</v>
      </c>
      <c r="K93" s="71" t="s">
        <v>507</v>
      </c>
      <c r="L93" s="15" t="str">
        <f>TEXT($C93,"dd.mm") &amp; " -Ped " &amp; D93 &amp; " -" &amp; F93 &amp; " -R$" &amp; G93 &amp; IF(LEN(TRIM(I93))=0, "", " -NF " &amp; TRIM(I93))</f>
        <v>11.11 -Ped 047573 -MUNCK IRATI -TR MAQ -R$1262</v>
      </c>
      <c r="N93" s="2" t="str">
        <f>"Por gentileza, colocar o número do *Pedido "&amp;PEDIDOS[[#This Row],[PDDO]]&amp;"* na nota que irá emitir para gente."</f>
        <v>Por gentileza, colocar o número do *Pedido 047573* na nota que irá emitir para gente.</v>
      </c>
    </row>
    <row r="94" spans="1:14" ht="15" customHeight="1">
      <c r="A94" s="4" t="s">
        <v>5</v>
      </c>
      <c r="B94" s="1" t="s">
        <v>60</v>
      </c>
      <c r="C94" s="16">
        <v>45974</v>
      </c>
      <c r="D94" s="72" t="s">
        <v>508</v>
      </c>
      <c r="E94" s="1" t="str">
        <f>_xlfn.XLOOKUP(F94,UTIL!Q:Q,UTIL!N:N,"-")</f>
        <v>061028125</v>
      </c>
      <c r="F94" s="15" t="s">
        <v>509</v>
      </c>
      <c r="G94" s="14">
        <v>270</v>
      </c>
      <c r="H94" s="4" t="s">
        <v>381</v>
      </c>
      <c r="K94" s="71" t="s">
        <v>510</v>
      </c>
      <c r="L94" s="15" t="str">
        <f>TEXT($C94,"dd.mm") &amp; " -Ped " &amp; D94 &amp; " -" &amp; F94 &amp; " -R$" &amp; G94 &amp; IF(LEN(TRIM(I94))=0, "", " -NF " &amp; TRIM(I94))</f>
        <v>13.11 -Ped 047758 -INCOMESPMUNCK -TR MAQ -R$270</v>
      </c>
      <c r="N94" s="2" t="str">
        <f>"Por gentileza, colocar o número do *Pedido "&amp;PEDIDOS[[#This Row],[PDDO]]&amp;"* na nota que irá emitir para gente."</f>
        <v>Por gentileza, colocar o número do *Pedido 047758* na nota que irá emitir para gente.</v>
      </c>
    </row>
    <row r="95" spans="1:14" ht="15" customHeight="1">
      <c r="A95" s="4" t="s">
        <v>53</v>
      </c>
      <c r="B95" s="1" t="s">
        <v>50</v>
      </c>
      <c r="C95" s="16">
        <v>45975</v>
      </c>
      <c r="D95" s="72" t="s">
        <v>511</v>
      </c>
      <c r="E95" s="1" t="str">
        <f>_xlfn.XLOOKUP(F95,UTIL!Q:Q,UTIL!N:N,"-")</f>
        <v>024586837</v>
      </c>
      <c r="F95" s="15" t="s">
        <v>512</v>
      </c>
      <c r="G95" s="14">
        <v>4175</v>
      </c>
      <c r="H95" s="4" t="s">
        <v>381</v>
      </c>
      <c r="K95" s="71" t="s">
        <v>513</v>
      </c>
      <c r="L95" s="15" t="str">
        <f>TEXT($C95,"dd.mm") &amp; " -Ped " &amp; D95 &amp; " -" &amp; F95 &amp; " -R$" &amp; G95 &amp; IF(LEN(TRIM(I95))=0, "", " -NF " &amp; TRIM(I95))</f>
        <v>14.11 -Ped 047732 -SUL LONAS - MT -R$4175</v>
      </c>
      <c r="N95" s="2" t="str">
        <f>"Por gentileza, colocar o número do *Pedido "&amp;PEDIDOS[[#This Row],[PDDO]]&amp;"* na nota que irá emitir para gente."</f>
        <v>Por gentileza, colocar o número do *Pedido 047732* na nota que irá emitir para gente.</v>
      </c>
    </row>
    <row r="96" spans="1:14" ht="15" customHeight="1">
      <c r="A96" s="4" t="s">
        <v>386</v>
      </c>
      <c r="B96" s="1" t="s">
        <v>49</v>
      </c>
      <c r="C96" s="16">
        <v>45975</v>
      </c>
      <c r="D96" s="72" t="s">
        <v>514</v>
      </c>
      <c r="E96" s="1" t="str">
        <f>_xlfn.XLOOKUP(F96,UTIL!Q:Q,UTIL!N:N,"-")</f>
        <v>032603119</v>
      </c>
      <c r="F96" s="15" t="s">
        <v>515</v>
      </c>
      <c r="G96" s="14">
        <v>3800</v>
      </c>
      <c r="H96" s="4" t="s">
        <v>381</v>
      </c>
      <c r="K96" s="71"/>
      <c r="L96" s="15" t="str">
        <f>TEXT($C96,"dd.mm") &amp; " -Ped " &amp; D96 &amp; " -" &amp; F96 &amp; " -R$" &amp; G96 &amp; IF(LEN(TRIM(I96))=0, "", " -NF " &amp; TRIM(I96))</f>
        <v>14.11 -Ped 047802 -ZORTEA -TR MAQ -R$3800</v>
      </c>
      <c r="N96" s="2" t="str">
        <f>"Por gentileza, colocar o número do *Pedido "&amp;PEDIDOS[[#This Row],[PDDO]]&amp;"* na nota que irá emitir para gente."</f>
        <v>Por gentileza, colocar o número do *Pedido 047802* na nota que irá emitir para gente.</v>
      </c>
    </row>
    <row r="97" spans="1:14" ht="15" customHeight="1">
      <c r="A97" s="4" t="s">
        <v>391</v>
      </c>
      <c r="B97" s="1" t="s">
        <v>49</v>
      </c>
      <c r="C97" s="16">
        <v>45975</v>
      </c>
      <c r="D97" s="72" t="s">
        <v>514</v>
      </c>
      <c r="E97" s="1" t="str">
        <f>_xlfn.XLOOKUP(F97,UTIL!Q:Q,UTIL!N:N,"-")</f>
        <v>032603119</v>
      </c>
      <c r="F97" s="15" t="s">
        <v>515</v>
      </c>
      <c r="G97" s="14">
        <v>1600</v>
      </c>
      <c r="H97" s="4" t="s">
        <v>381</v>
      </c>
      <c r="K97" s="71"/>
      <c r="L97" s="15" t="str">
        <f>TEXT($C97,"dd.mm") &amp; " -Ped " &amp; D97 &amp; " -" &amp; F97 &amp; " -R$" &amp; G97 &amp; IF(LEN(TRIM(I97))=0, "", " -NF " &amp; TRIM(I97))</f>
        <v>14.11 -Ped 047802 -ZORTEA -TR MAQ -R$1600</v>
      </c>
      <c r="N97" s="2" t="str">
        <f>"Por gentileza, colocar o número do *Pedido "&amp;PEDIDOS[[#This Row],[PDDO]]&amp;"* na nota que irá emitir para gente."</f>
        <v>Por gentileza, colocar o número do *Pedido 047802* na nota que irá emitir para gente.</v>
      </c>
    </row>
    <row r="98" spans="1:14" ht="15" customHeight="1">
      <c r="A98" s="4" t="s">
        <v>382</v>
      </c>
      <c r="B98" s="1" t="s">
        <v>58</v>
      </c>
      <c r="C98" s="16">
        <v>45975</v>
      </c>
      <c r="D98" s="72" t="s">
        <v>516</v>
      </c>
      <c r="E98" s="1" t="str">
        <f>_xlfn.XLOOKUP(F98,UTIL!Q:Q,UTIL!N:N,"-")</f>
        <v>046304055</v>
      </c>
      <c r="F98" s="15" t="s">
        <v>504</v>
      </c>
      <c r="G98" s="14">
        <v>300</v>
      </c>
      <c r="H98" s="4" t="s">
        <v>381</v>
      </c>
      <c r="K98" s="71"/>
      <c r="L98" s="15" t="str">
        <f>TEXT($C98,"dd.mm") &amp; " -Ped " &amp; D98 &amp; " -" &amp; F98 &amp; " -R$" &amp; G98 &amp; IF(LEN(TRIM(I98))=0, "", " -NF " &amp; TRIM(I98))</f>
        <v>14.11 -Ped 047892 -GRICZYNSKI -TR MAQ -R$300</v>
      </c>
      <c r="N98" s="2" t="str">
        <f>"Por gentileza, colocar o número do *Pedido "&amp;PEDIDOS[[#This Row],[PDDO]]&amp;"* na nota que irá emitir para gente."</f>
        <v>Por gentileza, colocar o número do *Pedido 047892* na nota que irá emitir para gente.</v>
      </c>
    </row>
    <row r="99" spans="1:14" ht="15" customHeight="1">
      <c r="A99" s="4" t="s">
        <v>382</v>
      </c>
      <c r="B99" s="1" t="s">
        <v>58</v>
      </c>
      <c r="C99" s="16">
        <v>45975</v>
      </c>
      <c r="D99" s="72" t="s">
        <v>516</v>
      </c>
      <c r="E99" s="1" t="str">
        <f>_xlfn.XLOOKUP(F99,UTIL!Q:Q,UTIL!N:N,"-")</f>
        <v>046304055</v>
      </c>
      <c r="F99" s="15" t="s">
        <v>504</v>
      </c>
      <c r="G99" s="14">
        <v>450</v>
      </c>
      <c r="H99" s="4" t="s">
        <v>381</v>
      </c>
      <c r="K99" s="71"/>
      <c r="L99" s="15" t="str">
        <f>TEXT($C99,"dd.mm") &amp; " -Ped " &amp; D99 &amp; " -" &amp; F99 &amp; " -R$" &amp; G99 &amp; IF(LEN(TRIM(I99))=0, "", " -NF " &amp; TRIM(I99))</f>
        <v>14.11 -Ped 047892 -GRICZYNSKI -TR MAQ -R$450</v>
      </c>
      <c r="N99" s="2" t="str">
        <f>"Por gentileza, colocar o número do *Pedido "&amp;PEDIDOS[[#This Row],[PDDO]]&amp;"* na nota que irá emitir para gente."</f>
        <v>Por gentileza, colocar o número do *Pedido 047892* na nota que irá emitir para gente.</v>
      </c>
    </row>
    <row r="100" spans="1:14" ht="15" customHeight="1">
      <c r="A100" s="4" t="s">
        <v>382</v>
      </c>
      <c r="B100" s="1" t="s">
        <v>73</v>
      </c>
      <c r="C100" s="16">
        <v>45975</v>
      </c>
      <c r="D100" s="72" t="s">
        <v>517</v>
      </c>
      <c r="E100" s="1" t="str">
        <f>_xlfn.XLOOKUP(F100,UTIL!Q:Q,UTIL!N:N,"-")</f>
        <v>046304055</v>
      </c>
      <c r="F100" s="15" t="s">
        <v>504</v>
      </c>
      <c r="G100" s="14">
        <v>430</v>
      </c>
      <c r="H100" s="4" t="s">
        <v>381</v>
      </c>
      <c r="K100" s="71"/>
      <c r="L100" s="15" t="str">
        <f>TEXT($C100,"dd.mm") &amp; " -Ped " &amp; D100 &amp; " -" &amp; F100 &amp; " -R$" &amp; G100 &amp; IF(LEN(TRIM(I100))=0, "", " -NF " &amp; TRIM(I100))</f>
        <v>14.11 -Ped 047893 -GRICZYNSKI -TR MAQ -R$430</v>
      </c>
      <c r="N100" s="2" t="str">
        <f>"Por gentileza, colocar o número do *Pedido "&amp;PEDIDOS[[#This Row],[PDDO]]&amp;"* na nota que irá emitir para gente."</f>
        <v>Por gentileza, colocar o número do *Pedido 047893* na nota que irá emitir para gente.</v>
      </c>
    </row>
    <row r="101" spans="1:14" ht="15" customHeight="1">
      <c r="A101" s="4" t="s">
        <v>54</v>
      </c>
      <c r="B101" s="1" t="s">
        <v>50</v>
      </c>
      <c r="C101" s="16">
        <v>45975</v>
      </c>
      <c r="D101" s="72" t="s">
        <v>518</v>
      </c>
      <c r="E101" s="1" t="str">
        <f>_xlfn.XLOOKUP(F101,UTIL!Q:Q,UTIL!N:N,"-")</f>
        <v>037969440</v>
      </c>
      <c r="F101" s="15" t="s">
        <v>380</v>
      </c>
      <c r="G101" s="14">
        <v>800.04</v>
      </c>
      <c r="H101" s="4" t="s">
        <v>381</v>
      </c>
      <c r="K101" s="71" t="s">
        <v>519</v>
      </c>
      <c r="L101" s="15" t="str">
        <f>TEXT($C101,"dd.mm") &amp; " -Ped " &amp; D101 &amp; " -" &amp; F101 &amp; " -R$" &amp; G101 &amp; IF(LEN(TRIM(I101))=0, "", " -NF " &amp; TRIM(I101))</f>
        <v>14.11 -Ped 047733 -MEGA TRUCK ACESSORIOS - MT -R$800,04</v>
      </c>
      <c r="N101" s="2" t="str">
        <f>"Por gentileza, colocar o número do *Pedido "&amp;PEDIDOS[[#This Row],[PDDO]]&amp;"* na nota que irá emitir para gente."</f>
        <v>Por gentileza, colocar o número do *Pedido 047733* na nota que irá emitir para gente.</v>
      </c>
    </row>
    <row r="102" spans="1:14" ht="15" customHeight="1">
      <c r="A102" s="4" t="s">
        <v>76</v>
      </c>
      <c r="B102" s="1" t="s">
        <v>50</v>
      </c>
      <c r="C102" s="16">
        <v>45975</v>
      </c>
      <c r="D102" s="72" t="s">
        <v>520</v>
      </c>
      <c r="E102" s="1" t="str">
        <f>_xlfn.XLOOKUP(F102,UTIL!Q:Q,UTIL!N:N,"-")</f>
        <v>010273940</v>
      </c>
      <c r="F102" s="15" t="s">
        <v>456</v>
      </c>
      <c r="G102" s="14">
        <v>216</v>
      </c>
      <c r="H102" s="4" t="s">
        <v>381</v>
      </c>
      <c r="K102" s="71" t="s">
        <v>521</v>
      </c>
      <c r="L102" s="15" t="str">
        <f>TEXT($C102,"dd.mm") &amp; " -Ped " &amp; D102 &amp; " -" &amp; F102 &amp; " -R$" &amp; G102 &amp; IF(LEN(TRIM(I102))=0, "", " -NF " &amp; TRIM(I102))</f>
        <v>14.11 -Ped 047800 -SERIE4 - MT 1 -R$216</v>
      </c>
      <c r="N102" s="2" t="str">
        <f>"Por gentileza, colocar o número do *Pedido "&amp;PEDIDOS[[#This Row],[PDDO]]&amp;"* na nota que irá emitir para gente."</f>
        <v>Por gentileza, colocar o número do *Pedido 047800* na nota que irá emitir para gente.</v>
      </c>
    </row>
    <row r="103" spans="1:14" ht="15" customHeight="1">
      <c r="A103" s="4" t="s">
        <v>76</v>
      </c>
      <c r="B103" s="1" t="s">
        <v>50</v>
      </c>
      <c r="C103" s="16">
        <v>45975</v>
      </c>
      <c r="D103" s="72" t="s">
        <v>520</v>
      </c>
      <c r="E103" s="1" t="str">
        <f>_xlfn.XLOOKUP(F103,UTIL!Q:Q,UTIL!N:N,"-")</f>
        <v>010273940</v>
      </c>
      <c r="F103" s="15" t="s">
        <v>456</v>
      </c>
      <c r="G103" s="14">
        <v>120</v>
      </c>
      <c r="H103" s="4" t="s">
        <v>381</v>
      </c>
      <c r="K103" s="71" t="s">
        <v>522</v>
      </c>
      <c r="L103" s="15" t="str">
        <f>TEXT($C103,"dd.mm") &amp; " -Ped " &amp; D103 &amp; " -" &amp; F103 &amp; " -R$" &amp; G103 &amp; IF(LEN(TRIM(I103))=0, "", " -NF " &amp; TRIM(I103))</f>
        <v>14.11 -Ped 047800 -SERIE4 - MT 1 -R$120</v>
      </c>
      <c r="N103" s="2" t="str">
        <f>"Por gentileza, colocar o número do *Pedido "&amp;PEDIDOS[[#This Row],[PDDO]]&amp;"* na nota que irá emitir para gente."</f>
        <v>Por gentileza, colocar o número do *Pedido 047800* na nota que irá emitir para gente.</v>
      </c>
    </row>
    <row r="104" spans="1:14" ht="15" customHeight="1">
      <c r="A104" s="4" t="s">
        <v>6</v>
      </c>
      <c r="B104" s="1" t="s">
        <v>50</v>
      </c>
      <c r="C104" s="16">
        <v>45978</v>
      </c>
      <c r="D104" s="72" t="s">
        <v>523</v>
      </c>
      <c r="E104" s="1" t="str">
        <f>_xlfn.XLOOKUP(F104,UTIL!Q:Q,UTIL!N:N,"-")</f>
        <v>051496564</v>
      </c>
      <c r="F104" s="15" t="s">
        <v>67</v>
      </c>
      <c r="G104" s="14">
        <v>200</v>
      </c>
      <c r="H104" s="4" t="s">
        <v>381</v>
      </c>
      <c r="K104" s="71"/>
      <c r="L104" s="15" t="str">
        <f>TEXT($C104,"dd.mm") &amp; " -Ped " &amp; D104 &amp; " -" &amp; F104 &amp; " -R$" &amp; G104 &amp; IF(LEN(TRIM(I104))=0, "", " -NF " &amp; TRIM(I104))</f>
        <v>17.11 -Ped 047871 -MARCOS D. COURIER -R$200</v>
      </c>
      <c r="N104" s="2" t="str">
        <f>"Por gentileza, colocar o número do *Pedido "&amp;PEDIDOS[[#This Row],[PDDO]]&amp;"* na nota que irá emitir para gente."</f>
        <v>Por gentileza, colocar o número do *Pedido 047871* na nota que irá emitir para gente.</v>
      </c>
    </row>
    <row r="105" spans="1:14" ht="15" customHeight="1">
      <c r="A105" s="4" t="s">
        <v>386</v>
      </c>
      <c r="B105" s="1" t="s">
        <v>49</v>
      </c>
      <c r="C105" s="16">
        <v>45979</v>
      </c>
      <c r="D105" s="72" t="s">
        <v>524</v>
      </c>
      <c r="E105" s="1" t="str">
        <f>_xlfn.XLOOKUP(F105,UTIL!Q:Q,UTIL!N:N,"-")</f>
        <v>019320206</v>
      </c>
      <c r="F105" s="15" t="s">
        <v>384</v>
      </c>
      <c r="G105" s="14">
        <v>900</v>
      </c>
      <c r="H105" s="4" t="s">
        <v>381</v>
      </c>
      <c r="K105" s="71"/>
      <c r="L105" s="15" t="str">
        <f>TEXT($C105,"dd.mm") &amp; " -Ped " &amp; D105 &amp; " -" &amp; F105 &amp; " -R$" &amp; G105 &amp; IF(LEN(TRIM(I105))=0, "", " -NF " &amp; TRIM(I105))</f>
        <v>18.11 -Ped 047895 -AGROMAQ -TR MAQ -R$900</v>
      </c>
      <c r="N105" s="2" t="str">
        <f>"Por gentileza, colocar o número do *Pedido "&amp;PEDIDOS[[#This Row],[PDDO]]&amp;"* na nota que irá emitir para gente."</f>
        <v>Por gentileza, colocar o número do *Pedido 047895* na nota que irá emitir para gente.</v>
      </c>
    </row>
    <row r="106" spans="1:14" ht="15" customHeight="1">
      <c r="A106" s="4" t="s">
        <v>391</v>
      </c>
      <c r="B106" s="1" t="s">
        <v>49</v>
      </c>
      <c r="C106" s="16">
        <v>45979</v>
      </c>
      <c r="D106" s="72" t="s">
        <v>524</v>
      </c>
      <c r="E106" s="1" t="str">
        <f>_xlfn.XLOOKUP(F106,UTIL!Q:Q,UTIL!N:N,"-")</f>
        <v>019320206</v>
      </c>
      <c r="F106" s="15" t="s">
        <v>384</v>
      </c>
      <c r="G106" s="14">
        <v>300</v>
      </c>
      <c r="H106" s="4" t="s">
        <v>381</v>
      </c>
      <c r="K106" s="71"/>
      <c r="L106" s="15" t="str">
        <f>TEXT($C106,"dd.mm") &amp; " -Ped " &amp; D106 &amp; " -" &amp; F106 &amp; " -R$" &amp; G106 &amp; IF(LEN(TRIM(I106))=0, "", " -NF " &amp; TRIM(I106))</f>
        <v>18.11 -Ped 047895 -AGROMAQ -TR MAQ -R$300</v>
      </c>
      <c r="N106" s="2" t="str">
        <f>"Por gentileza, colocar o número do *Pedido "&amp;PEDIDOS[[#This Row],[PDDO]]&amp;"* na nota que irá emitir para gente."</f>
        <v>Por gentileza, colocar o número do *Pedido 047895* na nota que irá emitir para gente.</v>
      </c>
    </row>
    <row r="107" spans="1:14" ht="15" customHeight="1">
      <c r="A107" s="4" t="s">
        <v>382</v>
      </c>
      <c r="B107" s="1" t="s">
        <v>73</v>
      </c>
      <c r="C107" s="16">
        <v>45980</v>
      </c>
      <c r="D107" s="72" t="s">
        <v>517</v>
      </c>
      <c r="E107" s="1" t="str">
        <f>_xlfn.XLOOKUP(F107,UTIL!Q:Q,UTIL!N:N,"-")</f>
        <v>046304055</v>
      </c>
      <c r="F107" s="15" t="s">
        <v>504</v>
      </c>
      <c r="G107" s="14">
        <v>550</v>
      </c>
      <c r="H107" s="4" t="s">
        <v>381</v>
      </c>
      <c r="K107" s="71"/>
      <c r="L107" s="15" t="str">
        <f>TEXT($C107,"dd.mm") &amp; " -Ped " &amp; D107 &amp; " -" &amp; F107 &amp; " -R$" &amp; G107 &amp; IF(LEN(TRIM(I107))=0, "", " -NF " &amp; TRIM(I107))</f>
        <v>19.11 -Ped 047893 -GRICZYNSKI -TR MAQ -R$550</v>
      </c>
      <c r="N107" s="2" t="str">
        <f>"Por gentileza, colocar o número do *Pedido "&amp;PEDIDOS[[#This Row],[PDDO]]&amp;"* na nota que irá emitir para gente."</f>
        <v>Por gentileza, colocar o número do *Pedido 047893* na nota que irá emitir para gente.</v>
      </c>
    </row>
    <row r="108" spans="1:14" ht="15" customHeight="1">
      <c r="A108" s="4" t="s">
        <v>396</v>
      </c>
      <c r="B108" s="1" t="s">
        <v>49</v>
      </c>
      <c r="C108" s="16">
        <v>45982</v>
      </c>
      <c r="D108" s="72" t="s">
        <v>525</v>
      </c>
      <c r="E108" s="1" t="str">
        <f>_xlfn.XLOOKUP(F108,UTIL!Q:Q,UTIL!N:N,"-")</f>
        <v>059381286</v>
      </c>
      <c r="F108" s="15" t="s">
        <v>526</v>
      </c>
      <c r="G108" s="14">
        <v>2900</v>
      </c>
      <c r="H108" s="4" t="s">
        <v>407</v>
      </c>
      <c r="K108" s="71" t="s">
        <v>527</v>
      </c>
      <c r="L108" s="15" t="str">
        <f>TEXT($C108,"dd.mm") &amp; " -Ped " &amp; D108 &amp; " -" &amp; F108 &amp; " -R$" &amp; G108 &amp; IF(LEN(TRIM(I108))=0, "", " -NF " &amp; TRIM(I108))</f>
        <v>21.11 -Ped 048045 -S M MUNCK - TR MAQ -R$2900</v>
      </c>
      <c r="N108" s="2" t="str">
        <f>"Por gentileza, colocar o número do *Pedido "&amp;PEDIDOS[[#This Row],[PDDO]]&amp;"* na nota que irá emitir para gente."</f>
        <v>Por gentileza, colocar o número do *Pedido 048045* na nota que irá emitir para gente.</v>
      </c>
    </row>
    <row r="109" spans="1:14" ht="15" customHeight="1">
      <c r="A109" s="4"/>
      <c r="E109" s="1" t="str">
        <f>_xlfn.XLOOKUP(F109,UTIL!Q:Q,UTIL!N:N,"-")</f>
        <v>0</v>
      </c>
      <c r="H109" s="4"/>
      <c r="K109" s="71"/>
      <c r="L109" s="15" t="str">
        <f>TEXT($C109,"dd.mm") &amp; " -Ped " &amp; D109 &amp; " -" &amp; F109 &amp; " -R$" &amp; G109 &amp; IF(LEN(TRIM(I109))=0, "", " -NF " &amp; TRIM(I109))</f>
        <v>00.01 -Ped  - -R$</v>
      </c>
      <c r="N109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0" spans="1:14" ht="15" customHeight="1">
      <c r="A110" s="4"/>
      <c r="E110" s="1" t="str">
        <f>_xlfn.XLOOKUP(F110,UTIL!Q:Q,UTIL!N:N,"-")</f>
        <v>0</v>
      </c>
      <c r="H110" s="4"/>
      <c r="K110" s="71"/>
      <c r="L110" s="15" t="str">
        <f>TEXT($C110,"dd.mm") &amp; " -Ped " &amp; D110 &amp; " -" &amp; F110 &amp; " -R$" &amp; G110 &amp; IF(LEN(TRIM(I110))=0, "", " -NF " &amp; TRIM(I110))</f>
        <v>00.01 -Ped  - -R$</v>
      </c>
      <c r="N110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1" spans="1:14" ht="15" customHeight="1">
      <c r="A111" s="4"/>
      <c r="E111" s="1" t="str">
        <f>_xlfn.XLOOKUP(F111,UTIL!Q:Q,UTIL!N:N,"-")</f>
        <v>0</v>
      </c>
      <c r="H111" s="4"/>
      <c r="K111" s="71"/>
      <c r="L111" s="15" t="str">
        <f>TEXT($C111,"dd.mm") &amp; " -Ped " &amp; D111 &amp; " -" &amp; F111 &amp; " -R$" &amp; G111 &amp; IF(LEN(TRIM(I111))=0, "", " -NF " &amp; TRIM(I111))</f>
        <v>00.01 -Ped  - -R$</v>
      </c>
      <c r="N111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2" spans="1:14" ht="15" customHeight="1">
      <c r="A112" s="4"/>
      <c r="E112" s="1" t="str">
        <f>_xlfn.XLOOKUP(F112,UTIL!Q:Q,UTIL!N:N,"-")</f>
        <v>0</v>
      </c>
      <c r="H112" s="4"/>
      <c r="K112" s="71"/>
      <c r="L112" s="15" t="str">
        <f>TEXT($C112,"dd.mm") &amp; " -Ped " &amp; D112 &amp; " -" &amp; F112 &amp; " -R$" &amp; G112 &amp; IF(LEN(TRIM(I112))=0, "", " -NF " &amp; TRIM(I112))</f>
        <v>00.01 -Ped  - -R$</v>
      </c>
      <c r="N112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3" spans="1:14" ht="15" customHeight="1">
      <c r="A113" s="4"/>
      <c r="E113" s="1" t="str">
        <f>_xlfn.XLOOKUP(F113,UTIL!Q:Q,UTIL!N:N,"-")</f>
        <v>0</v>
      </c>
      <c r="H113" s="4"/>
      <c r="K113" s="71"/>
      <c r="L113" s="15" t="str">
        <f>TEXT($C113,"dd.mm") &amp; " -Ped " &amp; D113 &amp; " -" &amp; F113 &amp; " -R$" &amp; G113 &amp; IF(LEN(TRIM(I113))=0, "", " -NF " &amp; TRIM(I113))</f>
        <v>00.01 -Ped  - -R$</v>
      </c>
      <c r="N113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4" spans="1:14" ht="15" customHeight="1">
      <c r="A114" s="4"/>
      <c r="E114" s="1" t="str">
        <f>_xlfn.XLOOKUP(F114,UTIL!Q:Q,UTIL!N:N,"-")</f>
        <v>0</v>
      </c>
      <c r="H114" s="4"/>
      <c r="K114" s="71"/>
      <c r="L114" s="15" t="str">
        <f>TEXT($C114,"dd.mm") &amp; " -Ped " &amp; D114 &amp; " -" &amp; F114 &amp; " -R$" &amp; G114 &amp; IF(LEN(TRIM(I114))=0, "", " -NF " &amp; TRIM(I114))</f>
        <v>00.01 -Ped  - -R$</v>
      </c>
      <c r="N114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5" spans="1:14" ht="15" customHeight="1">
      <c r="A115" s="4"/>
      <c r="E115" s="1" t="str">
        <f>_xlfn.XLOOKUP(F115,UTIL!Q:Q,UTIL!N:N,"-")</f>
        <v>0</v>
      </c>
      <c r="H115" s="4"/>
      <c r="K115" s="71"/>
      <c r="L115" s="15" t="str">
        <f>TEXT($C115,"dd.mm") &amp; " -Ped " &amp; D115 &amp; " -" &amp; F115 &amp; " -R$" &amp; G115 &amp; IF(LEN(TRIM(I115))=0, "", " -NF " &amp; TRIM(I115))</f>
        <v>00.01 -Ped  - -R$</v>
      </c>
      <c r="N115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6" spans="1:14" ht="15" customHeight="1">
      <c r="A116" s="4"/>
      <c r="E116" s="1" t="str">
        <f>_xlfn.XLOOKUP(F116,UTIL!Q:Q,UTIL!N:N,"-")</f>
        <v>0</v>
      </c>
      <c r="H116" s="4"/>
      <c r="K116" s="71"/>
      <c r="L116" s="15" t="str">
        <f>TEXT($C116,"dd.mm") &amp; " -Ped " &amp; D116 &amp; " -" &amp; F116 &amp; " -R$" &amp; G116 &amp; IF(LEN(TRIM(I116))=0, "", " -NF " &amp; TRIM(I116))</f>
        <v>00.01 -Ped  - -R$</v>
      </c>
      <c r="N116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7" spans="1:14" ht="15" customHeight="1">
      <c r="A117" s="4"/>
      <c r="E117" s="1" t="str">
        <f>_xlfn.XLOOKUP(F117,UTIL!Q:Q,UTIL!N:N,"-")</f>
        <v>0</v>
      </c>
      <c r="H117" s="4"/>
      <c r="K117" s="71"/>
      <c r="L117" s="15" t="str">
        <f>TEXT($C117,"dd.mm") &amp; " -Ped " &amp; D117 &amp; " -" &amp; F117 &amp; " -R$" &amp; G117 &amp; IF(LEN(TRIM(I117))=0, "", " -NF " &amp; TRIM(I117))</f>
        <v>00.01 -Ped  - -R$</v>
      </c>
      <c r="N117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8" spans="1:14" ht="15" customHeight="1">
      <c r="A118" s="4"/>
      <c r="E118" s="1" t="str">
        <f>_xlfn.XLOOKUP(F118,UTIL!Q:Q,UTIL!N:N,"-")</f>
        <v>0</v>
      </c>
      <c r="H118" s="4"/>
      <c r="K118" s="71"/>
      <c r="L118" s="15" t="str">
        <f>TEXT($C118,"dd.mm") &amp; " -Ped " &amp; D118 &amp; " -" &amp; F118 &amp; " -R$" &amp; G118 &amp; IF(LEN(TRIM(I118))=0, "", " -NF " &amp; TRIM(I118))</f>
        <v>00.01 -Ped  - -R$</v>
      </c>
      <c r="N118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9" spans="1:14" ht="15" customHeight="1">
      <c r="A119" s="4"/>
      <c r="E119" s="1" t="str">
        <f>_xlfn.XLOOKUP(F119,UTIL!Q:Q,UTIL!N:N,"-")</f>
        <v>0</v>
      </c>
      <c r="H119" s="4"/>
      <c r="K119" s="71"/>
      <c r="L119" s="15" t="str">
        <f>TEXT($C119,"dd.mm") &amp; " -Ped " &amp; D119 &amp; " -" &amp; F119 &amp; " -R$" &amp; G119 &amp; IF(LEN(TRIM(I119))=0, "", " -NF " &amp; TRIM(I119))</f>
        <v>00.01 -Ped  - -R$</v>
      </c>
      <c r="N119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0" spans="1:14" ht="15" customHeight="1">
      <c r="A120" s="4"/>
      <c r="E120" s="1" t="str">
        <f>_xlfn.XLOOKUP(F120,UTIL!Q:Q,UTIL!N:N,"-")</f>
        <v>0</v>
      </c>
      <c r="H120" s="4"/>
      <c r="K120" s="71"/>
      <c r="L120" s="15" t="str">
        <f>TEXT($C120,"dd.mm") &amp; " -Ped " &amp; D120 &amp; " -" &amp; F120 &amp; " -R$" &amp; G120 &amp; IF(LEN(TRIM(I120))=0, "", " -NF " &amp; TRIM(I120))</f>
        <v>00.01 -Ped  - -R$</v>
      </c>
      <c r="N120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1" spans="1:14" ht="15" customHeight="1">
      <c r="A121" s="4"/>
      <c r="E121" s="1" t="str">
        <f>_xlfn.XLOOKUP(F121,UTIL!Q:Q,UTIL!N:N,"-")</f>
        <v>0</v>
      </c>
      <c r="H121" s="4"/>
      <c r="K121" s="71"/>
      <c r="L121" s="15" t="str">
        <f>TEXT($C121,"dd.mm") &amp; " -Ped " &amp; D121 &amp; " -" &amp; F121 &amp; " -R$" &amp; G121 &amp; IF(LEN(TRIM(I121))=0, "", " -NF " &amp; TRIM(I121))</f>
        <v>00.01 -Ped  - -R$</v>
      </c>
      <c r="N121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2" spans="1:14" ht="15" customHeight="1">
      <c r="A122" s="4"/>
      <c r="E122" s="1" t="str">
        <f>_xlfn.XLOOKUP(F122,UTIL!Q:Q,UTIL!N:N,"-")</f>
        <v>0</v>
      </c>
      <c r="H122" s="4"/>
      <c r="K122" s="71"/>
      <c r="L122" s="15" t="str">
        <f>TEXT($C122,"dd.mm") &amp; " -Ped " &amp; D122 &amp; " -" &amp; F122 &amp; " -R$" &amp; G122 &amp; IF(LEN(TRIM(I122))=0, "", " -NF " &amp; TRIM(I122))</f>
        <v>00.01 -Ped  - -R$</v>
      </c>
      <c r="N122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3" spans="1:14" ht="15" customHeight="1">
      <c r="A123" s="4"/>
      <c r="E123" s="1" t="str">
        <f>_xlfn.XLOOKUP(F123,UTIL!Q:Q,UTIL!N:N,"-")</f>
        <v>0</v>
      </c>
      <c r="H123" s="4"/>
      <c r="K123" s="71"/>
      <c r="L123" s="15" t="str">
        <f>TEXT($C123,"dd.mm") &amp; " -Ped " &amp; D123 &amp; " -" &amp; F123 &amp; " -R$" &amp; G123 &amp; IF(LEN(TRIM(I123))=0, "", " -NF " &amp; TRIM(I123))</f>
        <v>00.01 -Ped  - -R$</v>
      </c>
      <c r="N123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4" spans="1:14" ht="15" customHeight="1">
      <c r="A124" s="4"/>
      <c r="E124" s="1" t="str">
        <f>_xlfn.XLOOKUP(F124,UTIL!Q:Q,UTIL!N:N,"-")</f>
        <v>0</v>
      </c>
      <c r="H124" s="4"/>
      <c r="K124" s="71"/>
      <c r="L124" s="15" t="str">
        <f>TEXT($C124,"dd.mm") &amp; " -Ped " &amp; D124 &amp; " -" &amp; F124 &amp; " -R$" &amp; G124 &amp; IF(LEN(TRIM(I124))=0, "", " -NF " &amp; TRIM(I124))</f>
        <v>00.01 -Ped  - -R$</v>
      </c>
      <c r="N124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5" spans="1:14" ht="15" customHeight="1">
      <c r="A125" s="4"/>
      <c r="E125" s="1" t="str">
        <f>_xlfn.XLOOKUP(F125,UTIL!Q:Q,UTIL!N:N,"-")</f>
        <v>0</v>
      </c>
      <c r="H125" s="4"/>
      <c r="K125" s="71"/>
      <c r="L125" s="15" t="str">
        <f>TEXT($C125,"dd.mm") &amp; " -Ped " &amp; D125 &amp; " -" &amp; F125 &amp; " -R$" &amp; G125 &amp; IF(LEN(TRIM(I125))=0, "", " -NF " &amp; TRIM(I125))</f>
        <v>00.01 -Ped  - -R$</v>
      </c>
      <c r="N125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6" spans="1:14" ht="15" customHeight="1">
      <c r="A126" s="4"/>
      <c r="E126" s="1" t="str">
        <f>_xlfn.XLOOKUP(F126,UTIL!Q:Q,UTIL!N:N,"-")</f>
        <v>0</v>
      </c>
      <c r="H126" s="4"/>
      <c r="K126" s="71"/>
      <c r="L126" s="15" t="str">
        <f>TEXT($C126,"dd.mm") &amp; " -Ped " &amp; D126 &amp; " -" &amp; F126 &amp; " -R$" &amp; G126 &amp; IF(LEN(TRIM(I126))=0, "", " -NF " &amp; TRIM(I126))</f>
        <v>00.01 -Ped  - -R$</v>
      </c>
      <c r="N126" s="2"/>
    </row>
  </sheetData>
  <conditionalFormatting sqref="A2:H9990">
    <cfRule type="expression" dxfId="83" priority="1">
      <formula>$H2="APROVADO"</formula>
    </cfRule>
    <cfRule type="expression" dxfId="82" priority="3">
      <formula>$H2="AGUARDANDO"</formula>
    </cfRule>
  </conditionalFormatting>
  <conditionalFormatting sqref="A2:L9990">
    <cfRule type="expression" dxfId="81" priority="5">
      <formula>LEN(TRIM($A2))=0</formula>
    </cfRule>
    <cfRule type="expression" dxfId="80" priority="6">
      <formula>LEN(TRIM($J2))=0</formula>
    </cfRule>
  </conditionalFormatting>
  <conditionalFormatting sqref="I2:L9990">
    <cfRule type="expression" dxfId="79" priority="2">
      <formula>LEN(TRIM($J2))&gt;0</formula>
    </cfRule>
  </conditionalFormatting>
  <dataValidations count="3">
    <dataValidation type="list" allowBlank="1" showInputMessage="1" showErrorMessage="1" sqref="B2:B30" xr:uid="{FD6CA7BB-7D1C-4797-8D49-8B0EACD1DAD0}">
      <formula1>"PG; CASTRO; IRATI; ARAPOTI; TIBAGI; GRPVA; PRUDE; QUEDAS"</formula1>
    </dataValidation>
    <dataValidation type="list" allowBlank="1" showInputMessage="1" showErrorMessage="1" sqref="B31:B88" xr:uid="{DAB08B16-AC0C-474C-BCD9-EA4EC6EDF2B0}">
      <formula1>"PG, CASTRO, IRATI, ARAPOTI, TIBAGI, GRPVA, PRUDE, QUEDAS"</formula1>
    </dataValidation>
    <dataValidation type="list" allowBlank="1" showInputMessage="1" showErrorMessage="1" sqref="H2:H126" xr:uid="{B46990C7-BCEF-4C0F-AFC4-A21D69DEF7A7}">
      <formula1>"Aprovado, Aguardando"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8AB2C3-C97D-481F-8D28-2D6D7D97BAEB}">
          <x14:formula1>
            <xm:f>UTIL!$Q$2:$Q$210</xm:f>
          </x14:formula1>
          <xm:sqref>F2:F126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48BF-B06E-4EA7-9CD1-8D61B74832D2}">
  <sheetPr>
    <tabColor theme="2" tint="-0.89999084444715716"/>
  </sheetPr>
  <dimension ref="A1:O4"/>
  <sheetViews>
    <sheetView showGridLines="0" workbookViewId="0">
      <pane ySplit="1" topLeftCell="A2" activePane="bottomLeft" state="frozen"/>
      <selection pane="bottomLeft" activeCell="C5" sqref="C5"/>
    </sheetView>
  </sheetViews>
  <sheetFormatPr defaultColWidth="0" defaultRowHeight="99.75" customHeight="1"/>
  <cols>
    <col min="1" max="1" width="12" style="66" customWidth="1"/>
    <col min="2" max="2" width="20.5703125" style="66" customWidth="1"/>
    <col min="3" max="3" width="18.140625" style="66" bestFit="1" customWidth="1"/>
    <col min="4" max="4" width="16.5703125" style="66" bestFit="1" customWidth="1"/>
    <col min="5" max="5" width="21.85546875" style="66" customWidth="1"/>
    <col min="6" max="6" width="20" style="66" customWidth="1"/>
    <col min="7" max="7" width="21.140625" style="69" bestFit="1" customWidth="1"/>
    <col min="8" max="9" width="20" style="66" customWidth="1"/>
    <col min="10" max="10" width="15.85546875" style="66" bestFit="1" customWidth="1"/>
    <col min="11" max="11" width="18.28515625" style="66" bestFit="1" customWidth="1"/>
    <col min="12" max="15" width="20" style="66" customWidth="1"/>
    <col min="16" max="16384" width="12" style="1" hidden="1"/>
  </cols>
  <sheetData>
    <row r="1" spans="1:15" s="6" customFormat="1" ht="28.9">
      <c r="A1" s="5" t="s">
        <v>94</v>
      </c>
      <c r="B1" s="6" t="s">
        <v>103</v>
      </c>
      <c r="C1" s="6" t="s">
        <v>528</v>
      </c>
      <c r="D1" s="6" t="s">
        <v>529</v>
      </c>
      <c r="E1" s="5" t="s">
        <v>530</v>
      </c>
      <c r="F1" s="6" t="s">
        <v>531</v>
      </c>
      <c r="G1" s="68" t="s">
        <v>532</v>
      </c>
      <c r="H1" s="6" t="s">
        <v>533</v>
      </c>
      <c r="I1" s="6" t="s">
        <v>534</v>
      </c>
      <c r="J1" s="6" t="s">
        <v>535</v>
      </c>
      <c r="K1" s="5" t="s">
        <v>536</v>
      </c>
      <c r="L1" s="6" t="s">
        <v>537</v>
      </c>
      <c r="M1" s="6" t="s">
        <v>538</v>
      </c>
      <c r="N1" s="6" t="s">
        <v>539</v>
      </c>
      <c r="O1" s="6" t="s">
        <v>540</v>
      </c>
    </row>
    <row r="2" spans="1:15" ht="72">
      <c r="A2" s="65" t="s">
        <v>111</v>
      </c>
      <c r="B2" s="66" t="s">
        <v>541</v>
      </c>
      <c r="C2" s="67">
        <v>45973</v>
      </c>
      <c r="E2" s="65" t="s">
        <v>542</v>
      </c>
      <c r="F2" s="66" t="s">
        <v>543</v>
      </c>
      <c r="G2" s="69" t="s">
        <v>544</v>
      </c>
      <c r="H2" s="66" t="s">
        <v>115</v>
      </c>
      <c r="I2" s="66" t="s">
        <v>545</v>
      </c>
      <c r="J2" s="66" t="s">
        <v>72</v>
      </c>
      <c r="K2" s="65">
        <v>42988689045</v>
      </c>
    </row>
    <row r="3" spans="1:15" ht="99.75" customHeight="1">
      <c r="A3" s="65" t="s">
        <v>111</v>
      </c>
      <c r="B3" s="66" t="s">
        <v>546</v>
      </c>
      <c r="C3" s="67">
        <v>45965</v>
      </c>
      <c r="E3" s="65" t="s">
        <v>542</v>
      </c>
      <c r="F3" s="66" t="s">
        <v>547</v>
      </c>
      <c r="G3" s="69" t="s">
        <v>548</v>
      </c>
      <c r="H3" s="66" t="s">
        <v>115</v>
      </c>
      <c r="I3" s="66" t="s">
        <v>549</v>
      </c>
      <c r="J3" s="66" t="s">
        <v>203</v>
      </c>
      <c r="K3" s="65" t="s">
        <v>550</v>
      </c>
    </row>
    <row r="4" spans="1:15" ht="99.75" customHeight="1">
      <c r="A4" s="65" t="s">
        <v>551</v>
      </c>
      <c r="B4" s="66" t="s">
        <v>546</v>
      </c>
      <c r="C4" s="67">
        <v>45980</v>
      </c>
      <c r="E4" s="65" t="s">
        <v>542</v>
      </c>
      <c r="F4" s="66" t="s">
        <v>547</v>
      </c>
      <c r="G4" s="69" t="s">
        <v>552</v>
      </c>
      <c r="H4" s="66" t="s">
        <v>115</v>
      </c>
      <c r="I4" s="66" t="s">
        <v>553</v>
      </c>
      <c r="J4" s="66" t="s">
        <v>203</v>
      </c>
      <c r="K4" s="65" t="s">
        <v>550</v>
      </c>
    </row>
  </sheetData>
  <conditionalFormatting sqref="A2:O9999">
    <cfRule type="expression" dxfId="64" priority="1">
      <formula>$A2="REGISTRADO"</formula>
    </cfRule>
    <cfRule type="expression" dxfId="63" priority="2">
      <formula>$A2="CONCLUIDO"</formula>
    </cfRule>
  </conditionalFormatting>
  <dataValidations count="1">
    <dataValidation type="list" allowBlank="1" showInputMessage="1" showErrorMessage="1" sqref="A1:A1048576" xr:uid="{ED489ED0-BB41-4BB5-90AD-C6F4B4D96DB7}">
      <formula1>"REGISTRADO, CONCLUIDO"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57A-4798-4D53-BA44-0BF931D1E497}">
  <sheetPr>
    <tabColor theme="9" tint="-0.499984740745262"/>
  </sheetPr>
  <dimension ref="A1:AB210"/>
  <sheetViews>
    <sheetView showGridLines="0" topLeftCell="P1" workbookViewId="0">
      <selection activeCell="V2" sqref="V2"/>
    </sheetView>
  </sheetViews>
  <sheetFormatPr defaultColWidth="8.85546875" defaultRowHeight="12" customHeight="1" zeroHeight="1"/>
  <cols>
    <col min="1" max="1" width="2.140625" style="2" bestFit="1" customWidth="1"/>
    <col min="2" max="2" width="11.7109375" style="2" bestFit="1" customWidth="1"/>
    <col min="3" max="3" width="3.42578125" style="2" bestFit="1" customWidth="1"/>
    <col min="4" max="5" width="6.28515625" style="2" bestFit="1" customWidth="1"/>
    <col min="6" max="6" width="4" style="152" bestFit="1" customWidth="1"/>
    <col min="7" max="8" width="4.7109375" style="152" bestFit="1" customWidth="1"/>
    <col min="9" max="9" width="5" style="152" bestFit="1" customWidth="1"/>
    <col min="10" max="10" width="5.5703125" style="153" bestFit="1" customWidth="1"/>
    <col min="11" max="11" width="28.85546875" style="2" bestFit="1" customWidth="1"/>
    <col min="12" max="12" width="4.7109375" style="7" bestFit="1" customWidth="1"/>
    <col min="13" max="13" width="1.7109375" style="7" customWidth="1"/>
    <col min="14" max="14" width="8.28515625" style="2" bestFit="1" customWidth="1"/>
    <col min="15" max="15" width="14.28515625" style="2" bestFit="1" customWidth="1"/>
    <col min="16" max="16" width="41.5703125" style="2" bestFit="1" customWidth="1"/>
    <col min="17" max="17" width="21.5703125" style="2" bestFit="1" customWidth="1"/>
    <col min="18" max="18" width="23.140625" style="2" bestFit="1" customWidth="1"/>
    <col min="19" max="19" width="9.7109375" style="2" bestFit="1" customWidth="1"/>
    <col min="20" max="20" width="4.7109375" style="7" bestFit="1" customWidth="1"/>
    <col min="21" max="21" width="1.7109375" style="7" customWidth="1"/>
    <col min="22" max="22" width="16.5703125" style="7" bestFit="1" customWidth="1"/>
    <col min="23" max="23" width="53.140625" style="7" bestFit="1" customWidth="1"/>
    <col min="24" max="24" width="10.7109375" style="7" bestFit="1" customWidth="1"/>
    <col min="25" max="25" width="0.85546875" style="7" customWidth="1"/>
    <col min="26" max="26" width="2" style="7" bestFit="1" customWidth="1"/>
    <col min="27" max="27" width="59.140625" style="7" bestFit="1" customWidth="1"/>
    <col min="28" max="28" width="11.7109375" style="7" bestFit="1" customWidth="1"/>
    <col min="29" max="16384" width="8.85546875" style="7"/>
  </cols>
  <sheetData>
    <row r="1" spans="1:28" ht="14.45" customHeight="1">
      <c r="A1" s="146" t="s">
        <v>554</v>
      </c>
      <c r="B1" s="146" t="s">
        <v>555</v>
      </c>
      <c r="C1" s="146" t="s">
        <v>556</v>
      </c>
      <c r="D1" s="146" t="s">
        <v>557</v>
      </c>
      <c r="E1" s="146" t="s">
        <v>4</v>
      </c>
      <c r="F1" s="147" t="s">
        <v>558</v>
      </c>
      <c r="G1" s="147" t="s">
        <v>559</v>
      </c>
      <c r="H1" s="147" t="s">
        <v>560</v>
      </c>
      <c r="I1" s="147" t="s">
        <v>561</v>
      </c>
      <c r="J1" s="148" t="s">
        <v>562</v>
      </c>
      <c r="K1" s="146" t="s">
        <v>563</v>
      </c>
      <c r="L1" s="174" t="s">
        <v>537</v>
      </c>
      <c r="N1" s="146" t="s">
        <v>372</v>
      </c>
      <c r="O1" s="154" t="s">
        <v>564</v>
      </c>
      <c r="P1" s="146" t="s">
        <v>565</v>
      </c>
      <c r="Q1" s="146" t="s">
        <v>566</v>
      </c>
      <c r="R1" s="146" t="s">
        <v>567</v>
      </c>
      <c r="S1" s="144" t="s">
        <v>4</v>
      </c>
      <c r="T1" s="174" t="s">
        <v>568</v>
      </c>
      <c r="V1" s="59" t="s">
        <v>372</v>
      </c>
      <c r="W1" s="60" t="s">
        <v>569</v>
      </c>
      <c r="X1" s="49"/>
      <c r="Z1" s="7">
        <v>1</v>
      </c>
      <c r="AA1" s="58" t="s">
        <v>570</v>
      </c>
      <c r="AB1" s="44" t="s">
        <v>571</v>
      </c>
    </row>
    <row r="2" spans="1:28">
      <c r="A2" s="149">
        <v>1</v>
      </c>
      <c r="B2" s="149" t="s">
        <v>572</v>
      </c>
      <c r="C2" s="149" t="s">
        <v>573</v>
      </c>
      <c r="D2" s="149" t="s">
        <v>574</v>
      </c>
      <c r="E2" s="149" t="s">
        <v>575</v>
      </c>
      <c r="F2" s="150">
        <v>2.2799999999999998</v>
      </c>
      <c r="G2" s="150">
        <v>3.1</v>
      </c>
      <c r="H2" s="150">
        <v>1</v>
      </c>
      <c r="I2" s="150">
        <v>1.57</v>
      </c>
      <c r="J2" s="151">
        <v>1200</v>
      </c>
      <c r="K2" s="149" t="str">
        <f>"A:"&amp;TEXT(F2,"0,00")&amp;" x C:"&amp;TEXT(G2,"0,00")&amp;" x L:"&amp;TEXT(H2,"0,00")&amp;"-"&amp;TEXT(I2,"0,00")&amp;" x P:"&amp;TEXT(J2,"0.00")&amp;"kg"</f>
        <v>A:2,28 x C:3,10 x L:1,00-1,57 x P:1.200kg</v>
      </c>
      <c r="L2" s="174"/>
      <c r="N2" s="149" t="str">
        <f t="shared" ref="N2:N65" si="0">"0"&amp;LEFT(TEXT(SUBSTITUTE(SUBSTITUTE(SUBSTITUTE(O2,".",""),"/",""),"-",""),"00000000000000"),8)</f>
        <v>044160580</v>
      </c>
      <c r="O2" s="155">
        <v>44160580000150</v>
      </c>
      <c r="P2" s="149" t="s">
        <v>576</v>
      </c>
      <c r="Q2" s="149" t="s">
        <v>577</v>
      </c>
      <c r="R2" s="149" t="s">
        <v>578</v>
      </c>
      <c r="S2" s="2" t="s">
        <v>579</v>
      </c>
      <c r="T2" s="174"/>
      <c r="V2" s="45" t="s">
        <v>580</v>
      </c>
      <c r="W2" s="46" t="s">
        <v>581</v>
      </c>
      <c r="X2" s="47"/>
      <c r="AA2" s="8" t="s">
        <v>582</v>
      </c>
      <c r="AB2" s="44"/>
    </row>
    <row r="3" spans="1:28">
      <c r="A3" s="149">
        <v>1</v>
      </c>
      <c r="B3" s="149" t="s">
        <v>583</v>
      </c>
      <c r="C3" s="149" t="s">
        <v>573</v>
      </c>
      <c r="D3" s="149" t="s">
        <v>584</v>
      </c>
      <c r="E3" s="149" t="s">
        <v>585</v>
      </c>
      <c r="F3" s="150">
        <v>2.6</v>
      </c>
      <c r="G3" s="150">
        <v>4.08</v>
      </c>
      <c r="H3" s="150">
        <v>1.45</v>
      </c>
      <c r="I3" s="150">
        <v>2</v>
      </c>
      <c r="J3" s="151">
        <v>5100</v>
      </c>
      <c r="K3" s="149" t="str">
        <f t="shared" ref="K3:K66" si="1">"A:"&amp;TEXT(F3,"0,00")&amp;" x C:"&amp;TEXT(G3,"0,00")&amp;" x L:"&amp;TEXT(H3,"0,00")&amp;"-"&amp;TEXT(I3,"0,00")&amp;" x P:"&amp;TEXT(J3,"0.00")&amp;"kg"</f>
        <v>A:2,60 x C:4,08 x L:1,45-2,00 x P:5.100kg</v>
      </c>
      <c r="L3" s="174"/>
      <c r="N3" s="149" t="str">
        <f t="shared" si="0"/>
        <v>061196032</v>
      </c>
      <c r="O3" s="155">
        <v>61196032000107</v>
      </c>
      <c r="P3" s="149" t="s">
        <v>586</v>
      </c>
      <c r="Q3" s="149" t="s">
        <v>81</v>
      </c>
      <c r="R3" s="149" t="s">
        <v>587</v>
      </c>
      <c r="S3" s="2" t="s">
        <v>579</v>
      </c>
      <c r="T3" s="174"/>
      <c r="V3" s="45" t="s">
        <v>588</v>
      </c>
      <c r="W3" s="46" t="s">
        <v>589</v>
      </c>
      <c r="X3" s="47"/>
      <c r="Z3" s="7">
        <v>2</v>
      </c>
      <c r="AA3" s="58" t="s">
        <v>590</v>
      </c>
      <c r="AB3" s="44" t="s">
        <v>591</v>
      </c>
    </row>
    <row r="4" spans="1:28">
      <c r="A4" s="149">
        <v>1</v>
      </c>
      <c r="B4" s="149" t="s">
        <v>583</v>
      </c>
      <c r="C4" s="149" t="s">
        <v>573</v>
      </c>
      <c r="D4" s="149" t="s">
        <v>584</v>
      </c>
      <c r="E4" s="149" t="s">
        <v>592</v>
      </c>
      <c r="F4" s="150">
        <v>2.38</v>
      </c>
      <c r="G4" s="150">
        <v>4.08</v>
      </c>
      <c r="H4" s="150">
        <v>1.44</v>
      </c>
      <c r="I4" s="150">
        <v>1.88</v>
      </c>
      <c r="J4" s="151">
        <v>2710</v>
      </c>
      <c r="K4" s="149" t="str">
        <f t="shared" si="1"/>
        <v>A:2,38 x C:4,08 x L:1,44-1,88 x P:2.710kg</v>
      </c>
      <c r="L4" s="174"/>
      <c r="N4" s="149" t="str">
        <f t="shared" si="0"/>
        <v>030712609</v>
      </c>
      <c r="O4" s="155">
        <v>30712609000154</v>
      </c>
      <c r="P4" s="149" t="s">
        <v>593</v>
      </c>
      <c r="Q4" s="149" t="s">
        <v>594</v>
      </c>
      <c r="R4" s="149" t="s">
        <v>595</v>
      </c>
      <c r="S4" s="145" t="s">
        <v>579</v>
      </c>
      <c r="T4" s="174"/>
      <c r="V4" s="45" t="s">
        <v>596</v>
      </c>
      <c r="W4" s="46" t="s">
        <v>597</v>
      </c>
      <c r="X4" s="47"/>
      <c r="AA4" s="8" t="s">
        <v>598</v>
      </c>
      <c r="AB4" s="44"/>
    </row>
    <row r="5" spans="1:28">
      <c r="A5" s="149">
        <v>1</v>
      </c>
      <c r="B5" s="149" t="s">
        <v>583</v>
      </c>
      <c r="C5" s="149" t="s">
        <v>573</v>
      </c>
      <c r="D5" s="149" t="s">
        <v>584</v>
      </c>
      <c r="E5" s="149" t="s">
        <v>599</v>
      </c>
      <c r="F5" s="150">
        <v>2.38</v>
      </c>
      <c r="G5" s="150">
        <v>4.08</v>
      </c>
      <c r="H5" s="150">
        <v>1.44</v>
      </c>
      <c r="I5" s="150">
        <v>1.88</v>
      </c>
      <c r="J5" s="151">
        <v>2710</v>
      </c>
      <c r="K5" s="149" t="str">
        <f t="shared" si="1"/>
        <v>A:2,38 x C:4,08 x L:1,44-1,88 x P:2.710kg</v>
      </c>
      <c r="L5" s="174"/>
      <c r="N5" s="149" t="str">
        <f t="shared" si="0"/>
        <v>018492099</v>
      </c>
      <c r="O5" s="155">
        <v>18492099000151</v>
      </c>
      <c r="P5" s="149" t="s">
        <v>600</v>
      </c>
      <c r="Q5" s="149" t="s">
        <v>601</v>
      </c>
      <c r="R5" s="149" t="s">
        <v>602</v>
      </c>
      <c r="S5" s="2" t="s">
        <v>579</v>
      </c>
      <c r="T5" s="174"/>
      <c r="V5" s="45" t="s">
        <v>603</v>
      </c>
      <c r="W5" s="46" t="s">
        <v>604</v>
      </c>
      <c r="X5" s="47"/>
      <c r="Z5" s="7">
        <v>3</v>
      </c>
      <c r="AA5" s="58" t="s">
        <v>605</v>
      </c>
      <c r="AB5" s="44" t="s">
        <v>606</v>
      </c>
    </row>
    <row r="6" spans="1:28">
      <c r="A6" s="149">
        <v>1</v>
      </c>
      <c r="B6" s="149" t="s">
        <v>583</v>
      </c>
      <c r="C6" s="149" t="s">
        <v>573</v>
      </c>
      <c r="D6" s="149" t="s">
        <v>607</v>
      </c>
      <c r="E6" s="149" t="s">
        <v>608</v>
      </c>
      <c r="F6" s="150">
        <v>2.6</v>
      </c>
      <c r="G6" s="150">
        <v>4.08</v>
      </c>
      <c r="H6" s="150">
        <v>1.45</v>
      </c>
      <c r="I6" s="150">
        <v>2</v>
      </c>
      <c r="J6" s="151">
        <v>5100</v>
      </c>
      <c r="K6" s="149" t="str">
        <f t="shared" si="1"/>
        <v>A:2,60 x C:4,08 x L:1,45-2,00 x P:5.100kg</v>
      </c>
      <c r="L6" s="174"/>
      <c r="N6" s="149" t="str">
        <f t="shared" si="0"/>
        <v>045428882</v>
      </c>
      <c r="O6" s="155">
        <v>45428882000129</v>
      </c>
      <c r="P6" s="149" t="s">
        <v>609</v>
      </c>
      <c r="Q6" s="149" t="s">
        <v>610</v>
      </c>
      <c r="R6" s="149" t="s">
        <v>611</v>
      </c>
      <c r="S6" s="2" t="s">
        <v>579</v>
      </c>
      <c r="T6" s="174"/>
      <c r="V6" s="45" t="s">
        <v>612</v>
      </c>
      <c r="W6" s="46" t="s">
        <v>613</v>
      </c>
      <c r="X6" s="48" t="s">
        <v>614</v>
      </c>
      <c r="AA6" s="8" t="s">
        <v>615</v>
      </c>
      <c r="AB6" s="44"/>
    </row>
    <row r="7" spans="1:28">
      <c r="A7" s="149">
        <v>1</v>
      </c>
      <c r="B7" s="149" t="s">
        <v>583</v>
      </c>
      <c r="C7" s="149" t="s">
        <v>573</v>
      </c>
      <c r="D7" s="149" t="s">
        <v>616</v>
      </c>
      <c r="E7" s="149" t="s">
        <v>617</v>
      </c>
      <c r="F7" s="150">
        <v>2.77</v>
      </c>
      <c r="G7" s="150">
        <v>4.17</v>
      </c>
      <c r="H7" s="150">
        <v>1.45</v>
      </c>
      <c r="I7" s="150">
        <v>2</v>
      </c>
      <c r="J7" s="151">
        <v>5100</v>
      </c>
      <c r="K7" s="149" t="str">
        <f t="shared" si="1"/>
        <v>A:2,77 x C:4,17 x L:1,45-2,00 x P:5.100kg</v>
      </c>
      <c r="L7" s="174"/>
      <c r="N7" s="149" t="str">
        <f t="shared" si="0"/>
        <v>043196595</v>
      </c>
      <c r="O7" s="155">
        <v>43196595000105</v>
      </c>
      <c r="P7" s="149" t="s">
        <v>618</v>
      </c>
      <c r="Q7" s="149" t="s">
        <v>619</v>
      </c>
      <c r="R7" s="149" t="s">
        <v>620</v>
      </c>
      <c r="S7" s="145" t="s">
        <v>579</v>
      </c>
      <c r="T7" s="174"/>
      <c r="V7" s="45" t="s">
        <v>621</v>
      </c>
      <c r="W7" s="46" t="s">
        <v>622</v>
      </c>
      <c r="X7" s="48"/>
      <c r="Z7" s="7">
        <v>4</v>
      </c>
      <c r="AA7" s="58" t="s">
        <v>623</v>
      </c>
      <c r="AB7" s="44" t="s">
        <v>624</v>
      </c>
    </row>
    <row r="8" spans="1:28">
      <c r="A8" s="149">
        <v>1</v>
      </c>
      <c r="B8" s="149" t="s">
        <v>583</v>
      </c>
      <c r="C8" s="149" t="s">
        <v>573</v>
      </c>
      <c r="D8" s="149" t="s">
        <v>625</v>
      </c>
      <c r="E8" s="149" t="s">
        <v>626</v>
      </c>
      <c r="F8" s="150">
        <v>2.6</v>
      </c>
      <c r="G8" s="150">
        <v>4.08</v>
      </c>
      <c r="H8" s="150">
        <v>1.45</v>
      </c>
      <c r="I8" s="150">
        <v>2</v>
      </c>
      <c r="J8" s="151">
        <v>5100</v>
      </c>
      <c r="K8" s="149" t="str">
        <f t="shared" si="1"/>
        <v>A:2,60 x C:4,08 x L:1,45-2,00 x P:5.100kg</v>
      </c>
      <c r="L8" s="174"/>
      <c r="N8" s="149" t="str">
        <f t="shared" si="0"/>
        <v>029866343</v>
      </c>
      <c r="O8" s="155">
        <v>29866343000115</v>
      </c>
      <c r="P8" s="149" t="s">
        <v>627</v>
      </c>
      <c r="Q8" s="149" t="s">
        <v>628</v>
      </c>
      <c r="R8" s="149" t="s">
        <v>629</v>
      </c>
      <c r="S8" s="145" t="s">
        <v>579</v>
      </c>
      <c r="T8" s="174"/>
      <c r="V8" s="59" t="s">
        <v>372</v>
      </c>
      <c r="W8" s="60" t="s">
        <v>630</v>
      </c>
      <c r="X8" s="49"/>
      <c r="AA8" s="8" t="s">
        <v>631</v>
      </c>
      <c r="AB8" s="44"/>
    </row>
    <row r="9" spans="1:28">
      <c r="A9" s="149">
        <v>1</v>
      </c>
      <c r="B9" s="149" t="s">
        <v>583</v>
      </c>
      <c r="C9" s="149" t="s">
        <v>573</v>
      </c>
      <c r="D9" s="149" t="s">
        <v>632</v>
      </c>
      <c r="E9" s="149" t="s">
        <v>633</v>
      </c>
      <c r="F9" s="150">
        <v>2.77</v>
      </c>
      <c r="G9" s="150">
        <v>4.17</v>
      </c>
      <c r="H9" s="150">
        <v>1.45</v>
      </c>
      <c r="I9" s="150">
        <v>2</v>
      </c>
      <c r="J9" s="151">
        <v>5100</v>
      </c>
      <c r="K9" s="149" t="str">
        <f t="shared" si="1"/>
        <v>A:2,77 x C:4,17 x L:1,45-2,00 x P:5.100kg</v>
      </c>
      <c r="L9" s="174"/>
      <c r="N9" s="149" t="str">
        <f t="shared" si="0"/>
        <v>033144048</v>
      </c>
      <c r="O9" s="155">
        <v>33144048000122</v>
      </c>
      <c r="P9" s="149" t="s">
        <v>634</v>
      </c>
      <c r="Q9" s="149" t="s">
        <v>635</v>
      </c>
      <c r="R9" s="149" t="s">
        <v>636</v>
      </c>
      <c r="S9" s="145" t="s">
        <v>579</v>
      </c>
      <c r="T9" s="174"/>
      <c r="V9" s="45">
        <v>101001</v>
      </c>
      <c r="W9" s="46" t="s">
        <v>637</v>
      </c>
      <c r="X9" s="47"/>
      <c r="Z9" s="7">
        <v>5</v>
      </c>
      <c r="AA9" s="58" t="s">
        <v>638</v>
      </c>
      <c r="AB9" s="44" t="s">
        <v>639</v>
      </c>
    </row>
    <row r="10" spans="1:28">
      <c r="A10" s="149">
        <v>1</v>
      </c>
      <c r="B10" s="149" t="s">
        <v>640</v>
      </c>
      <c r="C10" s="149" t="s">
        <v>573</v>
      </c>
      <c r="D10" s="149" t="s">
        <v>641</v>
      </c>
      <c r="E10" s="149" t="s">
        <v>642</v>
      </c>
      <c r="F10" s="150">
        <v>2.72</v>
      </c>
      <c r="G10" s="150">
        <v>4.5599999999999996</v>
      </c>
      <c r="H10" s="150">
        <v>2.5</v>
      </c>
      <c r="I10" s="150">
        <v>3.3</v>
      </c>
      <c r="J10" s="151">
        <v>5600</v>
      </c>
      <c r="K10" s="149" t="str">
        <f t="shared" si="1"/>
        <v>A:2,72 x C:4,56 x L:2,50-3,30 x P:5.600kg</v>
      </c>
      <c r="L10" s="174"/>
      <c r="N10" s="149" t="str">
        <f t="shared" si="0"/>
        <v>049138592</v>
      </c>
      <c r="O10" s="155">
        <v>49138592000100</v>
      </c>
      <c r="P10" s="149" t="s">
        <v>643</v>
      </c>
      <c r="Q10" s="149" t="s">
        <v>51</v>
      </c>
      <c r="R10" s="149" t="s">
        <v>644</v>
      </c>
      <c r="S10" s="145" t="s">
        <v>579</v>
      </c>
      <c r="T10" s="174"/>
      <c r="V10" s="45">
        <v>105001</v>
      </c>
      <c r="W10" s="46" t="s">
        <v>645</v>
      </c>
      <c r="X10" s="47"/>
      <c r="AA10" s="8" t="s">
        <v>646</v>
      </c>
      <c r="AB10" s="44"/>
    </row>
    <row r="11" spans="1:28">
      <c r="A11" s="149">
        <v>1</v>
      </c>
      <c r="B11" s="149" t="s">
        <v>640</v>
      </c>
      <c r="C11" s="149" t="s">
        <v>573</v>
      </c>
      <c r="D11" s="149" t="s">
        <v>647</v>
      </c>
      <c r="E11" s="149" t="s">
        <v>648</v>
      </c>
      <c r="F11" s="150">
        <v>2.72</v>
      </c>
      <c r="G11" s="150">
        <v>4.5599999999999996</v>
      </c>
      <c r="H11" s="150">
        <v>2.6</v>
      </c>
      <c r="I11" s="150">
        <v>3.3</v>
      </c>
      <c r="J11" s="151">
        <v>6300</v>
      </c>
      <c r="K11" s="149" t="str">
        <f t="shared" si="1"/>
        <v>A:2,72 x C:4,56 x L:2,60-3,30 x P:6.300kg</v>
      </c>
      <c r="L11" s="174"/>
      <c r="N11" s="149" t="str">
        <f t="shared" si="0"/>
        <v>051308170</v>
      </c>
      <c r="O11" s="155">
        <v>51308170000179</v>
      </c>
      <c r="P11" s="149" t="s">
        <v>649</v>
      </c>
      <c r="Q11" s="149" t="s">
        <v>650</v>
      </c>
      <c r="R11" s="149" t="s">
        <v>651</v>
      </c>
      <c r="S11" s="145" t="s">
        <v>579</v>
      </c>
      <c r="T11" s="174"/>
      <c r="V11" s="45">
        <v>105003</v>
      </c>
      <c r="W11" s="46" t="s">
        <v>652</v>
      </c>
      <c r="X11" s="47"/>
      <c r="Z11" s="7">
        <v>6</v>
      </c>
      <c r="AA11" s="58" t="s">
        <v>653</v>
      </c>
      <c r="AB11" s="44" t="s">
        <v>654</v>
      </c>
    </row>
    <row r="12" spans="1:28">
      <c r="A12" s="149">
        <v>1</v>
      </c>
      <c r="B12" s="149" t="s">
        <v>640</v>
      </c>
      <c r="C12" s="149" t="s">
        <v>573</v>
      </c>
      <c r="D12" s="149" t="s">
        <v>655</v>
      </c>
      <c r="E12" s="149" t="s">
        <v>656</v>
      </c>
      <c r="F12" s="150">
        <v>2.72</v>
      </c>
      <c r="G12" s="150">
        <v>4.5599999999999996</v>
      </c>
      <c r="H12" s="150">
        <v>2.7</v>
      </c>
      <c r="I12" s="150">
        <v>3.35</v>
      </c>
      <c r="J12" s="151">
        <v>6800</v>
      </c>
      <c r="K12" s="149" t="str">
        <f t="shared" si="1"/>
        <v>A:2,72 x C:4,56 x L:2,70-3,35 x P:6.800kg</v>
      </c>
      <c r="L12" s="174"/>
      <c r="N12" s="149" t="str">
        <f t="shared" si="0"/>
        <v>037717850</v>
      </c>
      <c r="O12" s="155">
        <v>37717850000115</v>
      </c>
      <c r="P12" s="149" t="s">
        <v>657</v>
      </c>
      <c r="Q12" s="149" t="s">
        <v>658</v>
      </c>
      <c r="R12" s="149" t="s">
        <v>595</v>
      </c>
      <c r="S12" s="145" t="s">
        <v>579</v>
      </c>
      <c r="T12" s="174"/>
      <c r="V12" s="45">
        <v>110002</v>
      </c>
      <c r="W12" s="46" t="s">
        <v>659</v>
      </c>
      <c r="X12" s="47"/>
      <c r="AA12" s="8" t="s">
        <v>660</v>
      </c>
      <c r="AB12" s="44"/>
    </row>
    <row r="13" spans="1:28">
      <c r="A13" s="149">
        <v>1</v>
      </c>
      <c r="B13" s="149" t="s">
        <v>640</v>
      </c>
      <c r="C13" s="149" t="s">
        <v>573</v>
      </c>
      <c r="D13" s="149" t="s">
        <v>661</v>
      </c>
      <c r="E13" s="149" t="s">
        <v>662</v>
      </c>
      <c r="F13" s="150">
        <v>2.74</v>
      </c>
      <c r="G13" s="150">
        <v>4.92</v>
      </c>
      <c r="H13" s="150">
        <v>2.87</v>
      </c>
      <c r="I13" s="150">
        <v>3.45</v>
      </c>
      <c r="J13" s="151">
        <v>7200</v>
      </c>
      <c r="K13" s="149" t="str">
        <f t="shared" si="1"/>
        <v>A:2,74 x C:4,92 x L:2,87-3,45 x P:7.200kg</v>
      </c>
      <c r="L13" s="174"/>
      <c r="N13" s="149" t="str">
        <f t="shared" si="0"/>
        <v>051836272</v>
      </c>
      <c r="O13" s="155">
        <v>51836272000167</v>
      </c>
      <c r="P13" s="149" t="s">
        <v>663</v>
      </c>
      <c r="Q13" s="149" t="s">
        <v>664</v>
      </c>
      <c r="R13" s="149" t="s">
        <v>595</v>
      </c>
      <c r="S13" s="145" t="s">
        <v>579</v>
      </c>
      <c r="T13" s="174"/>
      <c r="V13" s="45">
        <v>101003</v>
      </c>
      <c r="W13" s="46" t="s">
        <v>665</v>
      </c>
      <c r="X13" s="47"/>
      <c r="Z13" s="7">
        <v>7</v>
      </c>
      <c r="AA13" s="58" t="s">
        <v>666</v>
      </c>
      <c r="AB13" s="44" t="s">
        <v>667</v>
      </c>
    </row>
    <row r="14" spans="1:28">
      <c r="A14" s="149">
        <v>1</v>
      </c>
      <c r="B14" s="149" t="s">
        <v>640</v>
      </c>
      <c r="C14" s="149" t="s">
        <v>573</v>
      </c>
      <c r="D14" s="149" t="s">
        <v>661</v>
      </c>
      <c r="E14" s="149" t="s">
        <v>668</v>
      </c>
      <c r="F14" s="150">
        <v>2.2799999999999998</v>
      </c>
      <c r="G14" s="150">
        <v>4.5599999999999996</v>
      </c>
      <c r="H14" s="150">
        <v>2.87</v>
      </c>
      <c r="I14" s="150">
        <v>3.45</v>
      </c>
      <c r="J14" s="151">
        <v>7500</v>
      </c>
      <c r="K14" s="149" t="str">
        <f t="shared" si="1"/>
        <v>A:2,28 x C:4,56 x L:2,87-3,45 x P:7.500kg</v>
      </c>
      <c r="L14" s="174"/>
      <c r="N14" s="149" t="str">
        <f t="shared" si="0"/>
        <v>052184344</v>
      </c>
      <c r="O14" s="155">
        <v>52184344000100</v>
      </c>
      <c r="P14" s="149" t="s">
        <v>669</v>
      </c>
      <c r="Q14" s="149" t="s">
        <v>670</v>
      </c>
      <c r="R14" s="149" t="s">
        <v>620</v>
      </c>
      <c r="S14" s="145" t="s">
        <v>579</v>
      </c>
      <c r="T14" s="174"/>
      <c r="V14" s="45">
        <v>115004</v>
      </c>
      <c r="W14" s="46" t="s">
        <v>671</v>
      </c>
      <c r="X14" s="47"/>
      <c r="AA14" s="8" t="s">
        <v>672</v>
      </c>
      <c r="AB14" s="44"/>
    </row>
    <row r="15" spans="1:28">
      <c r="A15" s="149">
        <v>1</v>
      </c>
      <c r="B15" s="149" t="s">
        <v>640</v>
      </c>
      <c r="C15" s="149" t="s">
        <v>573</v>
      </c>
      <c r="D15" s="149" t="s">
        <v>673</v>
      </c>
      <c r="E15" s="149" t="s">
        <v>674</v>
      </c>
      <c r="F15" s="150">
        <v>2.86</v>
      </c>
      <c r="G15" s="150">
        <v>4.96</v>
      </c>
      <c r="H15" s="150">
        <v>2.7</v>
      </c>
      <c r="I15" s="150">
        <v>3.3</v>
      </c>
      <c r="J15" s="151">
        <v>7800</v>
      </c>
      <c r="K15" s="149" t="str">
        <f t="shared" si="1"/>
        <v>A:2,86 x C:4,96 x L:2,70-3,30 x P:7.800kg</v>
      </c>
      <c r="L15" s="174"/>
      <c r="N15" s="149" t="str">
        <f t="shared" si="0"/>
        <v>046406936</v>
      </c>
      <c r="O15" s="155">
        <v>46406936000118</v>
      </c>
      <c r="P15" s="149" t="s">
        <v>675</v>
      </c>
      <c r="Q15" s="149" t="s">
        <v>676</v>
      </c>
      <c r="R15" s="149" t="s">
        <v>620</v>
      </c>
      <c r="S15" s="145" t="s">
        <v>579</v>
      </c>
      <c r="T15" s="174"/>
      <c r="V15" s="45">
        <v>120007</v>
      </c>
      <c r="W15" s="50" t="s">
        <v>677</v>
      </c>
      <c r="X15" s="51"/>
      <c r="Z15" s="7">
        <v>8</v>
      </c>
      <c r="AA15" s="58" t="s">
        <v>678</v>
      </c>
      <c r="AB15" s="44" t="s">
        <v>679</v>
      </c>
    </row>
    <row r="16" spans="1:28">
      <c r="A16" s="149">
        <v>1</v>
      </c>
      <c r="B16" s="149" t="s">
        <v>640</v>
      </c>
      <c r="C16" s="149" t="s">
        <v>573</v>
      </c>
      <c r="D16" s="149" t="s">
        <v>673</v>
      </c>
      <c r="E16" s="149" t="s">
        <v>680</v>
      </c>
      <c r="F16" s="150">
        <v>2.93</v>
      </c>
      <c r="G16" s="150">
        <v>4.6500000000000004</v>
      </c>
      <c r="H16" s="150">
        <v>2.7</v>
      </c>
      <c r="I16" s="150">
        <v>3.3</v>
      </c>
      <c r="J16" s="151">
        <v>8500</v>
      </c>
      <c r="K16" s="149" t="str">
        <f t="shared" si="1"/>
        <v>A:2,93 x C:4,65 x L:2,70-3,30 x P:8.500kg</v>
      </c>
      <c r="L16" s="174"/>
      <c r="N16" s="149" t="str">
        <f t="shared" si="0"/>
        <v>036949062</v>
      </c>
      <c r="O16" s="155">
        <v>36949062000191</v>
      </c>
      <c r="P16" s="149" t="s">
        <v>681</v>
      </c>
      <c r="Q16" s="149" t="s">
        <v>682</v>
      </c>
      <c r="R16" s="149" t="s">
        <v>611</v>
      </c>
      <c r="S16" s="145" t="s">
        <v>579</v>
      </c>
      <c r="T16" s="174"/>
      <c r="V16" s="45">
        <v>120006</v>
      </c>
      <c r="W16" s="50" t="s">
        <v>683</v>
      </c>
      <c r="X16" s="51"/>
      <c r="AA16" s="8" t="s">
        <v>684</v>
      </c>
      <c r="AB16" s="44"/>
    </row>
    <row r="17" spans="1:28">
      <c r="A17" s="149">
        <v>1</v>
      </c>
      <c r="B17" s="149" t="s">
        <v>640</v>
      </c>
      <c r="C17" s="149" t="s">
        <v>573</v>
      </c>
      <c r="D17" s="149" t="s">
        <v>685</v>
      </c>
      <c r="E17" s="149" t="s">
        <v>686</v>
      </c>
      <c r="F17" s="150">
        <v>2.93</v>
      </c>
      <c r="G17" s="150">
        <v>5.42</v>
      </c>
      <c r="H17" s="150">
        <v>2.74</v>
      </c>
      <c r="I17" s="150">
        <v>3.4</v>
      </c>
      <c r="J17" s="151">
        <v>8500</v>
      </c>
      <c r="K17" s="149" t="str">
        <f t="shared" si="1"/>
        <v>A:2,93 x C:5,42 x L:2,74-3,40 x P:8.500kg</v>
      </c>
      <c r="L17" s="174"/>
      <c r="N17" s="149" t="str">
        <f t="shared" si="0"/>
        <v>004799973</v>
      </c>
      <c r="O17" s="155">
        <v>4799973000193</v>
      </c>
      <c r="P17" s="149" t="s">
        <v>687</v>
      </c>
      <c r="Q17" s="149" t="s">
        <v>688</v>
      </c>
      <c r="R17" s="149" t="s">
        <v>689</v>
      </c>
      <c r="S17" s="145" t="s">
        <v>579</v>
      </c>
      <c r="T17" s="174"/>
      <c r="V17" s="59" t="s">
        <v>690</v>
      </c>
      <c r="W17" s="60" t="s">
        <v>691</v>
      </c>
      <c r="X17" s="49"/>
      <c r="AB17" s="44" t="s">
        <v>692</v>
      </c>
    </row>
    <row r="18" spans="1:28">
      <c r="A18" s="149">
        <v>1</v>
      </c>
      <c r="B18" s="149" t="s">
        <v>640</v>
      </c>
      <c r="C18" s="149" t="s">
        <v>573</v>
      </c>
      <c r="D18" s="149" t="s">
        <v>685</v>
      </c>
      <c r="E18" s="149" t="s">
        <v>693</v>
      </c>
      <c r="F18" s="150">
        <v>3.3</v>
      </c>
      <c r="G18" s="150">
        <v>5.24</v>
      </c>
      <c r="H18" s="150">
        <v>2.74</v>
      </c>
      <c r="I18" s="150">
        <v>3.4</v>
      </c>
      <c r="J18" s="151">
        <v>9550</v>
      </c>
      <c r="K18" s="149" t="str">
        <f t="shared" si="1"/>
        <v>A:3,30 x C:5,24 x L:2,74-3,40 x P:9.550kg</v>
      </c>
      <c r="L18" s="174"/>
      <c r="N18" s="149" t="str">
        <f t="shared" si="0"/>
        <v>041772779</v>
      </c>
      <c r="O18" s="155">
        <v>41772779000140</v>
      </c>
      <c r="P18" s="149" t="s">
        <v>694</v>
      </c>
      <c r="Q18" s="149" t="s">
        <v>695</v>
      </c>
      <c r="R18" s="149" t="s">
        <v>611</v>
      </c>
      <c r="S18" s="145" t="s">
        <v>579</v>
      </c>
      <c r="T18" s="174"/>
      <c r="V18" s="46" t="s">
        <v>696</v>
      </c>
      <c r="W18" s="52" t="s">
        <v>697</v>
      </c>
      <c r="X18" s="48" t="s">
        <v>698</v>
      </c>
      <c r="AB18" s="44" t="s">
        <v>699</v>
      </c>
    </row>
    <row r="19" spans="1:28">
      <c r="A19" s="149">
        <v>1</v>
      </c>
      <c r="B19" s="149" t="s">
        <v>640</v>
      </c>
      <c r="C19" s="149" t="s">
        <v>573</v>
      </c>
      <c r="D19" s="149" t="s">
        <v>700</v>
      </c>
      <c r="E19" s="149" t="s">
        <v>701</v>
      </c>
      <c r="F19" s="150">
        <v>2.98</v>
      </c>
      <c r="G19" s="150">
        <v>5.42</v>
      </c>
      <c r="H19" s="150">
        <v>2.95</v>
      </c>
      <c r="I19" s="150">
        <v>3.6</v>
      </c>
      <c r="J19" s="151">
        <v>9800</v>
      </c>
      <c r="K19" s="149" t="str">
        <f t="shared" si="1"/>
        <v>A:2,98 x C:5,42 x L:2,95-3,60 x P:9.800kg</v>
      </c>
      <c r="L19" s="174"/>
      <c r="N19" s="149" t="str">
        <f t="shared" si="0"/>
        <v>028829399</v>
      </c>
      <c r="O19" s="155">
        <v>28829399000137</v>
      </c>
      <c r="P19" s="149" t="s">
        <v>702</v>
      </c>
      <c r="Q19" s="149" t="s">
        <v>703</v>
      </c>
      <c r="R19" s="149" t="s">
        <v>704</v>
      </c>
      <c r="S19" s="145" t="s">
        <v>579</v>
      </c>
      <c r="T19" s="174"/>
      <c r="V19" s="46" t="s">
        <v>705</v>
      </c>
      <c r="W19" s="52" t="s">
        <v>706</v>
      </c>
      <c r="X19" s="48" t="s">
        <v>707</v>
      </c>
      <c r="AB19" s="44"/>
    </row>
    <row r="20" spans="1:28">
      <c r="A20" s="149">
        <v>1</v>
      </c>
      <c r="B20" s="149" t="s">
        <v>640</v>
      </c>
      <c r="C20" s="149" t="s">
        <v>573</v>
      </c>
      <c r="D20" s="149" t="s">
        <v>700</v>
      </c>
      <c r="E20" s="149" t="s">
        <v>708</v>
      </c>
      <c r="F20" s="150">
        <v>3.3</v>
      </c>
      <c r="G20" s="150">
        <v>5.24</v>
      </c>
      <c r="H20" s="150">
        <v>2.95</v>
      </c>
      <c r="I20" s="150">
        <v>3.6</v>
      </c>
      <c r="J20" s="151">
        <v>10650</v>
      </c>
      <c r="K20" s="149" t="str">
        <f t="shared" si="1"/>
        <v>A:3,30 x C:5,24 x L:2,95-3,60 x P:10.650kg</v>
      </c>
      <c r="L20" s="174"/>
      <c r="N20" s="149" t="str">
        <f t="shared" si="0"/>
        <v>017726086</v>
      </c>
      <c r="O20" s="155">
        <v>17726086000137</v>
      </c>
      <c r="P20" s="149" t="s">
        <v>709</v>
      </c>
      <c r="Q20" s="149" t="s">
        <v>710</v>
      </c>
      <c r="R20" s="149" t="s">
        <v>711</v>
      </c>
      <c r="S20" s="145" t="s">
        <v>579</v>
      </c>
      <c r="T20" s="174"/>
      <c r="V20" s="61" t="s">
        <v>712</v>
      </c>
      <c r="W20" s="61" t="s">
        <v>713</v>
      </c>
      <c r="X20" s="49"/>
      <c r="AA20" s="17" t="s">
        <v>714</v>
      </c>
      <c r="AB20" s="44"/>
    </row>
    <row r="21" spans="1:28">
      <c r="A21" s="149">
        <v>1</v>
      </c>
      <c r="B21" s="149" t="s">
        <v>640</v>
      </c>
      <c r="C21" s="149" t="s">
        <v>573</v>
      </c>
      <c r="D21" s="149" t="s">
        <v>715</v>
      </c>
      <c r="E21" s="149" t="s">
        <v>716</v>
      </c>
      <c r="F21" s="150">
        <v>2.93</v>
      </c>
      <c r="G21" s="150">
        <v>5.42</v>
      </c>
      <c r="H21" s="150">
        <v>2.92</v>
      </c>
      <c r="I21" s="150">
        <v>3.6</v>
      </c>
      <c r="J21" s="151">
        <v>11000</v>
      </c>
      <c r="K21" s="149" t="str">
        <f t="shared" si="1"/>
        <v>A:2,93 x C:5,42 x L:2,92-3,60 x P:11.000kg</v>
      </c>
      <c r="N21" s="149" t="str">
        <f t="shared" si="0"/>
        <v>037205228</v>
      </c>
      <c r="O21" s="155">
        <v>37205228000128</v>
      </c>
      <c r="P21" s="149" t="s">
        <v>717</v>
      </c>
      <c r="Q21" s="149" t="s">
        <v>718</v>
      </c>
      <c r="R21" s="149" t="s">
        <v>636</v>
      </c>
      <c r="S21" s="145" t="s">
        <v>579</v>
      </c>
      <c r="V21" s="53" t="s">
        <v>719</v>
      </c>
      <c r="W21" s="53" t="s">
        <v>720</v>
      </c>
      <c r="X21" s="54"/>
      <c r="AA21" s="18" t="s">
        <v>721</v>
      </c>
      <c r="AB21" s="44"/>
    </row>
    <row r="22" spans="1:28">
      <c r="A22" s="149">
        <v>1</v>
      </c>
      <c r="B22" s="149" t="s">
        <v>640</v>
      </c>
      <c r="C22" s="149" t="s">
        <v>573</v>
      </c>
      <c r="D22" s="149" t="s">
        <v>715</v>
      </c>
      <c r="E22" s="149" t="s">
        <v>722</v>
      </c>
      <c r="F22" s="150">
        <v>3.31</v>
      </c>
      <c r="G22" s="150">
        <v>5.0199999999999996</v>
      </c>
      <c r="H22" s="150">
        <v>2.92</v>
      </c>
      <c r="I22" s="150">
        <v>3.6</v>
      </c>
      <c r="J22" s="151">
        <v>11750</v>
      </c>
      <c r="K22" s="149" t="str">
        <f t="shared" si="1"/>
        <v>A:3,31 x C:5,02 x L:2,92-3,60 x P:11.750kg</v>
      </c>
      <c r="N22" s="149" t="str">
        <f t="shared" si="0"/>
        <v>034154225</v>
      </c>
      <c r="O22" s="155">
        <v>34154225000114</v>
      </c>
      <c r="P22" s="149" t="s">
        <v>723</v>
      </c>
      <c r="Q22" s="149" t="s">
        <v>84</v>
      </c>
      <c r="R22" s="149" t="s">
        <v>595</v>
      </c>
      <c r="S22" s="145" t="s">
        <v>579</v>
      </c>
      <c r="V22" s="53" t="s">
        <v>724</v>
      </c>
      <c r="W22" s="53" t="s">
        <v>725</v>
      </c>
      <c r="X22" s="54"/>
      <c r="AA22" s="18" t="s">
        <v>726</v>
      </c>
    </row>
    <row r="23" spans="1:28">
      <c r="A23" s="149">
        <v>1</v>
      </c>
      <c r="B23" s="149" t="s">
        <v>727</v>
      </c>
      <c r="C23" s="149" t="s">
        <v>573</v>
      </c>
      <c r="D23" s="149" t="s">
        <v>728</v>
      </c>
      <c r="E23" s="149" t="s">
        <v>729</v>
      </c>
      <c r="F23" s="150">
        <v>3.17</v>
      </c>
      <c r="G23" s="150">
        <v>5.82</v>
      </c>
      <c r="H23" s="150">
        <v>2.4300000000000002</v>
      </c>
      <c r="I23" s="150">
        <v>3</v>
      </c>
      <c r="J23" s="151">
        <v>11400</v>
      </c>
      <c r="K23" s="149" t="str">
        <f t="shared" si="1"/>
        <v>A:3,17 x C:5,82 x L:2,43-3,00 x P:11.400kg</v>
      </c>
      <c r="N23" s="149" t="str">
        <f t="shared" si="0"/>
        <v>027170024</v>
      </c>
      <c r="O23" s="155">
        <v>27170024000145</v>
      </c>
      <c r="P23" s="149" t="s">
        <v>730</v>
      </c>
      <c r="Q23" s="149" t="s">
        <v>731</v>
      </c>
      <c r="R23" s="149" t="s">
        <v>732</v>
      </c>
      <c r="S23" s="145" t="s">
        <v>579</v>
      </c>
      <c r="V23" s="53" t="s">
        <v>733</v>
      </c>
      <c r="W23" s="53" t="s">
        <v>734</v>
      </c>
      <c r="X23" s="54"/>
      <c r="AA23" s="18" t="s">
        <v>735</v>
      </c>
    </row>
    <row r="24" spans="1:28">
      <c r="A24" s="149">
        <v>1</v>
      </c>
      <c r="B24" s="149" t="s">
        <v>727</v>
      </c>
      <c r="C24" s="149" t="s">
        <v>573</v>
      </c>
      <c r="D24" s="149" t="s">
        <v>736</v>
      </c>
      <c r="E24" s="149" t="s">
        <v>737</v>
      </c>
      <c r="F24" s="150">
        <v>3.17</v>
      </c>
      <c r="G24" s="150">
        <v>5.82</v>
      </c>
      <c r="H24" s="150">
        <v>2.4300000000000002</v>
      </c>
      <c r="I24" s="150">
        <v>3</v>
      </c>
      <c r="J24" s="151">
        <v>11800</v>
      </c>
      <c r="K24" s="149" t="str">
        <f t="shared" si="1"/>
        <v>A:3,17 x C:5,82 x L:2,43-3,00 x P:11.800kg</v>
      </c>
      <c r="N24" s="149" t="str">
        <f t="shared" si="0"/>
        <v>031370636</v>
      </c>
      <c r="O24" s="155">
        <v>31370636000159</v>
      </c>
      <c r="P24" s="149" t="s">
        <v>738</v>
      </c>
      <c r="Q24" s="149" t="s">
        <v>78</v>
      </c>
      <c r="R24" s="149" t="s">
        <v>636</v>
      </c>
      <c r="S24" s="2" t="s">
        <v>579</v>
      </c>
      <c r="AA24" s="18" t="s">
        <v>739</v>
      </c>
    </row>
    <row r="25" spans="1:28">
      <c r="A25" s="149">
        <v>1</v>
      </c>
      <c r="B25" s="149" t="s">
        <v>727</v>
      </c>
      <c r="C25" s="149" t="s">
        <v>573</v>
      </c>
      <c r="D25" s="149" t="s">
        <v>740</v>
      </c>
      <c r="E25" s="149" t="s">
        <v>741</v>
      </c>
      <c r="F25" s="150">
        <v>3.17</v>
      </c>
      <c r="G25" s="150">
        <v>5.82</v>
      </c>
      <c r="H25" s="150">
        <v>2.4300000000000002</v>
      </c>
      <c r="I25" s="150">
        <v>3</v>
      </c>
      <c r="J25" s="151">
        <v>12650</v>
      </c>
      <c r="K25" s="149" t="str">
        <f t="shared" si="1"/>
        <v>A:3,17 x C:5,82 x L:2,43-3,00 x P:12.650kg</v>
      </c>
      <c r="N25" s="149" t="str">
        <f t="shared" si="0"/>
        <v>029084883</v>
      </c>
      <c r="O25" s="155">
        <v>29084883000147</v>
      </c>
      <c r="P25" s="149" t="s">
        <v>742</v>
      </c>
      <c r="Q25" s="149" t="s">
        <v>743</v>
      </c>
      <c r="R25" s="149" t="s">
        <v>636</v>
      </c>
      <c r="S25" s="145" t="s">
        <v>579</v>
      </c>
      <c r="AA25" s="18" t="s">
        <v>744</v>
      </c>
    </row>
    <row r="26" spans="1:28" ht="14.45" customHeight="1">
      <c r="A26" s="149">
        <v>1</v>
      </c>
      <c r="B26" s="149" t="s">
        <v>745</v>
      </c>
      <c r="C26" s="149" t="s">
        <v>573</v>
      </c>
      <c r="D26" s="149" t="s">
        <v>746</v>
      </c>
      <c r="E26" s="149" t="s">
        <v>747</v>
      </c>
      <c r="F26" s="150">
        <v>3.3</v>
      </c>
      <c r="G26" s="150">
        <v>6.04</v>
      </c>
      <c r="H26" s="150">
        <v>2.4500000000000002</v>
      </c>
      <c r="I26" s="150">
        <v>3.3</v>
      </c>
      <c r="J26" s="151">
        <v>13325</v>
      </c>
      <c r="K26" s="149" t="str">
        <f t="shared" si="1"/>
        <v>A:3,30 x C:6,04 x L:2,45-3,30 x P:13.325kg</v>
      </c>
      <c r="N26" s="149" t="str">
        <f t="shared" si="0"/>
        <v>059376166</v>
      </c>
      <c r="O26" s="155">
        <v>59376166000150</v>
      </c>
      <c r="P26" s="149" t="s">
        <v>748</v>
      </c>
      <c r="Q26" s="149" t="s">
        <v>61</v>
      </c>
      <c r="R26" s="149" t="s">
        <v>651</v>
      </c>
      <c r="S26" s="145" t="s">
        <v>579</v>
      </c>
      <c r="V26" s="175" t="s">
        <v>749</v>
      </c>
      <c r="W26" s="175"/>
      <c r="X26" s="175"/>
      <c r="AA26" s="18" t="s">
        <v>750</v>
      </c>
    </row>
    <row r="27" spans="1:28">
      <c r="A27" s="149">
        <v>1</v>
      </c>
      <c r="B27" s="149" t="s">
        <v>745</v>
      </c>
      <c r="C27" s="149" t="s">
        <v>573</v>
      </c>
      <c r="D27" s="149" t="s">
        <v>751</v>
      </c>
      <c r="E27" s="149" t="s">
        <v>752</v>
      </c>
      <c r="F27" s="150">
        <v>3.3</v>
      </c>
      <c r="G27" s="150">
        <v>6.04</v>
      </c>
      <c r="H27" s="150">
        <v>2.4500000000000002</v>
      </c>
      <c r="I27" s="150">
        <v>3.3</v>
      </c>
      <c r="J27" s="151">
        <v>14700</v>
      </c>
      <c r="K27" s="149" t="str">
        <f t="shared" si="1"/>
        <v>A:3,30 x C:6,04 x L:2,45-3,30 x P:14.700kg</v>
      </c>
      <c r="N27" s="149" t="str">
        <f t="shared" si="0"/>
        <v>042932416</v>
      </c>
      <c r="O27" s="155">
        <v>42932416000198</v>
      </c>
      <c r="P27" s="149" t="s">
        <v>753</v>
      </c>
      <c r="Q27" s="149" t="s">
        <v>754</v>
      </c>
      <c r="R27" s="149" t="s">
        <v>651</v>
      </c>
      <c r="S27" s="145" t="s">
        <v>579</v>
      </c>
      <c r="V27" s="62" t="s">
        <v>755</v>
      </c>
      <c r="W27" s="62" t="s">
        <v>756</v>
      </c>
      <c r="X27" s="62" t="s">
        <v>757</v>
      </c>
      <c r="AA27" s="18" t="s">
        <v>758</v>
      </c>
    </row>
    <row r="28" spans="1:28">
      <c r="A28" s="149">
        <v>1</v>
      </c>
      <c r="B28" s="149" t="s">
        <v>745</v>
      </c>
      <c r="C28" s="149" t="s">
        <v>573</v>
      </c>
      <c r="D28" s="149" t="s">
        <v>759</v>
      </c>
      <c r="E28" s="149" t="s">
        <v>760</v>
      </c>
      <c r="F28" s="150">
        <v>3.3</v>
      </c>
      <c r="G28" s="150">
        <v>6.04</v>
      </c>
      <c r="H28" s="150">
        <v>2.4500000000000002</v>
      </c>
      <c r="I28" s="150">
        <v>3.3</v>
      </c>
      <c r="J28" s="151">
        <v>16192</v>
      </c>
      <c r="K28" s="149" t="str">
        <f t="shared" si="1"/>
        <v>A:3,30 x C:6,04 x L:2,45-3,30 x P:16.192kg</v>
      </c>
      <c r="N28" s="149" t="str">
        <f t="shared" si="0"/>
        <v>011374806</v>
      </c>
      <c r="O28" s="155">
        <v>11374806000166</v>
      </c>
      <c r="P28" s="149" t="s">
        <v>761</v>
      </c>
      <c r="Q28" s="149" t="s">
        <v>762</v>
      </c>
      <c r="R28" s="149" t="s">
        <v>651</v>
      </c>
      <c r="S28" s="2" t="s">
        <v>579</v>
      </c>
      <c r="V28" s="56" t="s">
        <v>50</v>
      </c>
      <c r="W28" s="55" t="s">
        <v>763</v>
      </c>
      <c r="X28" s="55" t="s">
        <v>764</v>
      </c>
      <c r="AA28" s="18" t="s">
        <v>765</v>
      </c>
    </row>
    <row r="29" spans="1:28">
      <c r="A29" s="149">
        <v>1</v>
      </c>
      <c r="B29" s="149" t="s">
        <v>745</v>
      </c>
      <c r="C29" s="149" t="s">
        <v>573</v>
      </c>
      <c r="D29" s="149" t="s">
        <v>766</v>
      </c>
      <c r="E29" s="149" t="s">
        <v>767</v>
      </c>
      <c r="F29" s="150">
        <v>3.3</v>
      </c>
      <c r="G29" s="150">
        <v>6.04</v>
      </c>
      <c r="H29" s="150">
        <v>2.4500000000000002</v>
      </c>
      <c r="I29" s="150">
        <v>3.3</v>
      </c>
      <c r="J29" s="151">
        <v>17600</v>
      </c>
      <c r="K29" s="149" t="str">
        <f t="shared" si="1"/>
        <v>A:3,30 x C:6,04 x L:2,45-3,30 x P:17.600kg</v>
      </c>
      <c r="N29" s="149" t="str">
        <f t="shared" si="0"/>
        <v>047462365</v>
      </c>
      <c r="O29" s="155">
        <v>47462365000100</v>
      </c>
      <c r="P29" s="149" t="s">
        <v>768</v>
      </c>
      <c r="Q29" s="149" t="s">
        <v>769</v>
      </c>
      <c r="R29" s="149" t="s">
        <v>651</v>
      </c>
      <c r="S29" s="2" t="s">
        <v>579</v>
      </c>
      <c r="V29" s="56" t="s">
        <v>59</v>
      </c>
      <c r="W29" s="55" t="s">
        <v>770</v>
      </c>
      <c r="X29" s="55" t="s">
        <v>771</v>
      </c>
      <c r="AA29" s="18" t="s">
        <v>772</v>
      </c>
    </row>
    <row r="30" spans="1:28">
      <c r="A30" s="149">
        <v>1</v>
      </c>
      <c r="B30" s="149" t="s">
        <v>745</v>
      </c>
      <c r="C30" s="149" t="s">
        <v>573</v>
      </c>
      <c r="D30" s="149" t="s">
        <v>773</v>
      </c>
      <c r="E30" s="149" t="s">
        <v>774</v>
      </c>
      <c r="F30" s="150">
        <v>3.3</v>
      </c>
      <c r="G30" s="150">
        <v>6.04</v>
      </c>
      <c r="H30" s="150">
        <v>2.4500000000000002</v>
      </c>
      <c r="I30" s="150">
        <v>3.3</v>
      </c>
      <c r="J30" s="151">
        <v>18000</v>
      </c>
      <c r="K30" s="149" t="str">
        <f t="shared" si="1"/>
        <v>A:3,30 x C:6,04 x L:2,45-3,30 x P:18.000kg</v>
      </c>
      <c r="N30" s="149" t="str">
        <f t="shared" si="0"/>
        <v>054337699</v>
      </c>
      <c r="O30" s="155">
        <v>54337699000109</v>
      </c>
      <c r="P30" s="149" t="s">
        <v>775</v>
      </c>
      <c r="Q30" s="149" t="s">
        <v>776</v>
      </c>
      <c r="R30" s="149" t="s">
        <v>595</v>
      </c>
      <c r="S30" s="2" t="s">
        <v>579</v>
      </c>
      <c r="V30" s="56" t="s">
        <v>58</v>
      </c>
      <c r="W30" s="55" t="s">
        <v>777</v>
      </c>
      <c r="X30" s="55" t="s">
        <v>778</v>
      </c>
      <c r="AA30" s="18" t="s">
        <v>779</v>
      </c>
    </row>
    <row r="31" spans="1:28">
      <c r="A31" s="149">
        <v>1</v>
      </c>
      <c r="B31" s="149" t="s">
        <v>745</v>
      </c>
      <c r="C31" s="149" t="s">
        <v>573</v>
      </c>
      <c r="D31" s="149" t="s">
        <v>780</v>
      </c>
      <c r="E31" s="149" t="s">
        <v>781</v>
      </c>
      <c r="F31" s="150">
        <v>3.3</v>
      </c>
      <c r="G31" s="150">
        <v>6.04</v>
      </c>
      <c r="H31" s="150">
        <v>2.4500000000000002</v>
      </c>
      <c r="I31" s="150">
        <v>3.3</v>
      </c>
      <c r="J31" s="151">
        <v>18000</v>
      </c>
      <c r="K31" s="149" t="str">
        <f t="shared" si="1"/>
        <v>A:3,30 x C:6,04 x L:2,45-3,30 x P:18.000kg</v>
      </c>
      <c r="N31" s="149" t="str">
        <f t="shared" si="0"/>
        <v>020131578</v>
      </c>
      <c r="O31" s="155">
        <v>20131578000194</v>
      </c>
      <c r="P31" s="149" t="s">
        <v>782</v>
      </c>
      <c r="Q31" s="149" t="s">
        <v>783</v>
      </c>
      <c r="R31" s="149" t="s">
        <v>711</v>
      </c>
      <c r="S31" s="2" t="s">
        <v>579</v>
      </c>
      <c r="V31" s="56" t="s">
        <v>49</v>
      </c>
      <c r="W31" s="55" t="s">
        <v>784</v>
      </c>
      <c r="X31" s="55" t="s">
        <v>785</v>
      </c>
      <c r="AA31" s="18" t="s">
        <v>786</v>
      </c>
    </row>
    <row r="32" spans="1:28">
      <c r="A32" s="149">
        <v>1</v>
      </c>
      <c r="B32" s="149" t="s">
        <v>745</v>
      </c>
      <c r="C32" s="149" t="s">
        <v>573</v>
      </c>
      <c r="D32" s="149" t="s">
        <v>787</v>
      </c>
      <c r="E32" s="149" t="s">
        <v>788</v>
      </c>
      <c r="F32" s="150">
        <v>3.3</v>
      </c>
      <c r="G32" s="150">
        <v>6.04</v>
      </c>
      <c r="H32" s="150">
        <v>2.4500000000000002</v>
      </c>
      <c r="I32" s="150">
        <v>3.3</v>
      </c>
      <c r="J32" s="151">
        <v>18000</v>
      </c>
      <c r="K32" s="149" t="str">
        <f t="shared" si="1"/>
        <v>A:3,30 x C:6,04 x L:2,45-3,30 x P:18.000kg</v>
      </c>
      <c r="N32" s="149" t="str">
        <f t="shared" si="0"/>
        <v>051496564</v>
      </c>
      <c r="O32" s="155">
        <v>51496564000106</v>
      </c>
      <c r="P32" s="149" t="s">
        <v>789</v>
      </c>
      <c r="Q32" s="149" t="s">
        <v>67</v>
      </c>
      <c r="R32" s="149" t="s">
        <v>611</v>
      </c>
      <c r="S32" s="2" t="s">
        <v>579</v>
      </c>
      <c r="V32" s="56" t="s">
        <v>131</v>
      </c>
      <c r="W32" s="55" t="s">
        <v>790</v>
      </c>
      <c r="X32" s="55" t="s">
        <v>791</v>
      </c>
      <c r="AA32" s="18" t="s">
        <v>792</v>
      </c>
    </row>
    <row r="33" spans="1:27">
      <c r="A33" s="149">
        <v>1</v>
      </c>
      <c r="B33" s="149" t="s">
        <v>793</v>
      </c>
      <c r="C33" s="149" t="s">
        <v>573</v>
      </c>
      <c r="D33" s="149" t="s">
        <v>794</v>
      </c>
      <c r="E33" s="149" t="s">
        <v>794</v>
      </c>
      <c r="F33" s="150">
        <v>3.98</v>
      </c>
      <c r="G33" s="150">
        <v>8.43</v>
      </c>
      <c r="H33" s="150">
        <v>3.05</v>
      </c>
      <c r="I33" s="150">
        <v>4.3</v>
      </c>
      <c r="J33" s="151">
        <v>20856</v>
      </c>
      <c r="K33" s="149" t="str">
        <f t="shared" si="1"/>
        <v>A:3,98 x C:8,43 x L:3,05-4,30 x P:20.856kg</v>
      </c>
      <c r="N33" s="149" t="str">
        <f t="shared" si="0"/>
        <v>037676492</v>
      </c>
      <c r="O33" s="155">
        <v>37676492000140</v>
      </c>
      <c r="P33" s="149" t="s">
        <v>795</v>
      </c>
      <c r="Q33" s="149" t="s">
        <v>796</v>
      </c>
      <c r="R33" s="149" t="s">
        <v>797</v>
      </c>
      <c r="S33" s="2" t="s">
        <v>579</v>
      </c>
      <c r="V33" s="56" t="s">
        <v>240</v>
      </c>
      <c r="W33" s="55" t="s">
        <v>798</v>
      </c>
      <c r="X33" s="55" t="s">
        <v>799</v>
      </c>
      <c r="AA33" s="18" t="s">
        <v>800</v>
      </c>
    </row>
    <row r="34" spans="1:27">
      <c r="A34" s="149">
        <v>1</v>
      </c>
      <c r="B34" s="149" t="s">
        <v>793</v>
      </c>
      <c r="C34" s="149" t="s">
        <v>573</v>
      </c>
      <c r="D34" s="149" t="s">
        <v>801</v>
      </c>
      <c r="E34" s="149" t="s">
        <v>801</v>
      </c>
      <c r="F34" s="150">
        <v>3.98</v>
      </c>
      <c r="G34" s="150">
        <v>8.43</v>
      </c>
      <c r="H34" s="150">
        <v>3.05</v>
      </c>
      <c r="I34" s="150">
        <v>4.3</v>
      </c>
      <c r="J34" s="151">
        <v>20856</v>
      </c>
      <c r="K34" s="149" t="str">
        <f t="shared" si="1"/>
        <v>A:3,98 x C:8,43 x L:3,05-4,30 x P:20.856kg</v>
      </c>
      <c r="N34" s="149" t="str">
        <f t="shared" si="0"/>
        <v>051859432</v>
      </c>
      <c r="O34" s="155">
        <v>51859432000193</v>
      </c>
      <c r="P34" s="149" t="s">
        <v>802</v>
      </c>
      <c r="Q34" s="149" t="s">
        <v>803</v>
      </c>
      <c r="R34" s="149" t="s">
        <v>804</v>
      </c>
      <c r="S34" s="145" t="s">
        <v>579</v>
      </c>
      <c r="V34" s="56" t="s">
        <v>422</v>
      </c>
      <c r="W34" s="55" t="s">
        <v>805</v>
      </c>
      <c r="X34" s="55" t="s">
        <v>806</v>
      </c>
      <c r="AA34" s="57" t="s">
        <v>807</v>
      </c>
    </row>
    <row r="35" spans="1:27">
      <c r="A35" s="149">
        <v>1</v>
      </c>
      <c r="B35" s="149" t="s">
        <v>793</v>
      </c>
      <c r="C35" s="149" t="s">
        <v>573</v>
      </c>
      <c r="D35" s="149" t="s">
        <v>808</v>
      </c>
      <c r="E35" s="149" t="s">
        <v>808</v>
      </c>
      <c r="F35" s="150">
        <v>3.98</v>
      </c>
      <c r="G35" s="150">
        <v>8.43</v>
      </c>
      <c r="H35" s="150">
        <v>3.05</v>
      </c>
      <c r="I35" s="150">
        <v>4.3</v>
      </c>
      <c r="J35" s="151">
        <v>20856</v>
      </c>
      <c r="K35" s="149" t="str">
        <f t="shared" si="1"/>
        <v>A:3,98 x C:8,43 x L:3,05-4,30 x P:20.856kg</v>
      </c>
      <c r="N35" s="149" t="str">
        <f t="shared" si="0"/>
        <v>002453308</v>
      </c>
      <c r="O35" s="155">
        <v>2453308000118</v>
      </c>
      <c r="P35" s="149" t="s">
        <v>809</v>
      </c>
      <c r="Q35" s="149" t="s">
        <v>810</v>
      </c>
      <c r="R35" s="149" t="s">
        <v>811</v>
      </c>
      <c r="S35" s="145" t="s">
        <v>579</v>
      </c>
      <c r="V35" s="56" t="s">
        <v>72</v>
      </c>
      <c r="W35" s="55" t="s">
        <v>812</v>
      </c>
      <c r="X35" s="55" t="s">
        <v>813</v>
      </c>
      <c r="AA35" s="57" t="s">
        <v>814</v>
      </c>
    </row>
    <row r="36" spans="1:27">
      <c r="A36" s="149">
        <v>1</v>
      </c>
      <c r="B36" s="149" t="s">
        <v>793</v>
      </c>
      <c r="C36" s="149" t="s">
        <v>573</v>
      </c>
      <c r="D36" s="149" t="s">
        <v>815</v>
      </c>
      <c r="E36" s="149" t="s">
        <v>815</v>
      </c>
      <c r="F36" s="150">
        <v>3.98</v>
      </c>
      <c r="G36" s="150">
        <v>8.43</v>
      </c>
      <c r="H36" s="150">
        <v>3.05</v>
      </c>
      <c r="I36" s="150">
        <v>4.3</v>
      </c>
      <c r="J36" s="151">
        <v>20856</v>
      </c>
      <c r="K36" s="149" t="str">
        <f t="shared" si="1"/>
        <v>A:3,98 x C:8,43 x L:3,05-4,30 x P:20.856kg</v>
      </c>
      <c r="N36" s="149" t="str">
        <f t="shared" si="0"/>
        <v>032752387</v>
      </c>
      <c r="O36" s="155">
        <v>32752387000129</v>
      </c>
      <c r="P36" s="149" t="s">
        <v>816</v>
      </c>
      <c r="Q36" s="149" t="s">
        <v>817</v>
      </c>
      <c r="R36" s="149" t="s">
        <v>587</v>
      </c>
      <c r="S36" s="2" t="s">
        <v>579</v>
      </c>
      <c r="AA36" s="57" t="s">
        <v>818</v>
      </c>
    </row>
    <row r="37" spans="1:27">
      <c r="A37" s="149">
        <v>1</v>
      </c>
      <c r="B37" s="149" t="s">
        <v>793</v>
      </c>
      <c r="C37" s="149" t="s">
        <v>573</v>
      </c>
      <c r="D37" s="149" t="s">
        <v>819</v>
      </c>
      <c r="E37" s="149" t="s">
        <v>819</v>
      </c>
      <c r="F37" s="150">
        <v>3.98</v>
      </c>
      <c r="G37" s="150">
        <v>8.43</v>
      </c>
      <c r="H37" s="150">
        <v>3.05</v>
      </c>
      <c r="I37" s="150">
        <v>4.3</v>
      </c>
      <c r="J37" s="151">
        <v>21174</v>
      </c>
      <c r="K37" s="149" t="str">
        <f t="shared" si="1"/>
        <v>A:3,98 x C:8,43 x L:3,05-4,30 x P:21.174kg</v>
      </c>
      <c r="N37" s="149" t="str">
        <f t="shared" si="0"/>
        <v>036015029</v>
      </c>
      <c r="O37" s="155">
        <v>36015029000194</v>
      </c>
      <c r="P37" s="149" t="s">
        <v>820</v>
      </c>
      <c r="Q37" s="149" t="s">
        <v>821</v>
      </c>
      <c r="R37" s="149" t="s">
        <v>644</v>
      </c>
      <c r="S37" s="2" t="s">
        <v>579</v>
      </c>
      <c r="AA37" s="57" t="s">
        <v>822</v>
      </c>
    </row>
    <row r="38" spans="1:27">
      <c r="A38" s="149">
        <v>1</v>
      </c>
      <c r="B38" s="149" t="s">
        <v>793</v>
      </c>
      <c r="C38" s="149" t="s">
        <v>573</v>
      </c>
      <c r="D38" s="149" t="s">
        <v>823</v>
      </c>
      <c r="E38" s="149" t="s">
        <v>823</v>
      </c>
      <c r="F38" s="150">
        <v>3.71</v>
      </c>
      <c r="G38" s="150">
        <v>8.5500000000000007</v>
      </c>
      <c r="H38" s="150">
        <v>3.05</v>
      </c>
      <c r="I38" s="150">
        <v>3.96</v>
      </c>
      <c r="J38" s="151">
        <v>25546</v>
      </c>
      <c r="K38" s="149" t="str">
        <f t="shared" si="1"/>
        <v>A:3,71 x C:8,55 x L:3,05-3,96 x P:25.546kg</v>
      </c>
      <c r="N38" s="149" t="str">
        <f t="shared" si="0"/>
        <v>053529331</v>
      </c>
      <c r="O38" s="155">
        <v>53529331000180</v>
      </c>
      <c r="P38" s="149" t="s">
        <v>824</v>
      </c>
      <c r="Q38" s="149" t="s">
        <v>825</v>
      </c>
      <c r="R38" s="149" t="s">
        <v>595</v>
      </c>
      <c r="S38" s="145" t="s">
        <v>579</v>
      </c>
      <c r="W38" s="7" t="s">
        <v>826</v>
      </c>
    </row>
    <row r="39" spans="1:27">
      <c r="A39" s="149">
        <v>1</v>
      </c>
      <c r="B39" s="149" t="s">
        <v>793</v>
      </c>
      <c r="C39" s="149" t="s">
        <v>573</v>
      </c>
      <c r="D39" s="149" t="s">
        <v>827</v>
      </c>
      <c r="E39" s="149" t="s">
        <v>827</v>
      </c>
      <c r="F39" s="150">
        <v>3.71</v>
      </c>
      <c r="G39" s="150">
        <v>8.7100000000000009</v>
      </c>
      <c r="H39" s="150">
        <v>3.05</v>
      </c>
      <c r="I39" s="150">
        <v>3.96</v>
      </c>
      <c r="J39" s="151">
        <v>25546</v>
      </c>
      <c r="K39" s="149" t="str">
        <f t="shared" si="1"/>
        <v>A:3,71 x C:8,71 x L:3,05-3,96 x P:25.546kg</v>
      </c>
      <c r="N39" s="149" t="str">
        <f t="shared" si="0"/>
        <v>012772524</v>
      </c>
      <c r="O39" s="155">
        <v>12772524000180</v>
      </c>
      <c r="P39" s="149" t="s">
        <v>828</v>
      </c>
      <c r="Q39" s="149" t="s">
        <v>74</v>
      </c>
      <c r="R39" s="149" t="s">
        <v>644</v>
      </c>
      <c r="S39" s="145" t="s">
        <v>579</v>
      </c>
    </row>
    <row r="40" spans="1:27">
      <c r="A40" s="149">
        <v>1</v>
      </c>
      <c r="B40" s="149" t="s">
        <v>793</v>
      </c>
      <c r="C40" s="149" t="s">
        <v>573</v>
      </c>
      <c r="D40" s="149" t="s">
        <v>829</v>
      </c>
      <c r="E40" s="149" t="s">
        <v>829</v>
      </c>
      <c r="F40" s="150">
        <v>3.71</v>
      </c>
      <c r="G40" s="150">
        <v>8.5500000000000007</v>
      </c>
      <c r="H40" s="150">
        <v>3.05</v>
      </c>
      <c r="I40" s="150">
        <v>3.96</v>
      </c>
      <c r="J40" s="151">
        <v>25546</v>
      </c>
      <c r="K40" s="149" t="str">
        <f t="shared" si="1"/>
        <v>A:3,71 x C:8,55 x L:3,05-3,96 x P:25.546kg</v>
      </c>
      <c r="N40" s="149" t="str">
        <f t="shared" si="0"/>
        <v>030823337</v>
      </c>
      <c r="O40" s="155">
        <v>30823337000160</v>
      </c>
      <c r="P40" s="149" t="s">
        <v>830</v>
      </c>
      <c r="Q40" s="149" t="s">
        <v>831</v>
      </c>
      <c r="R40" s="149" t="s">
        <v>644</v>
      </c>
      <c r="S40" s="145" t="s">
        <v>579</v>
      </c>
    </row>
    <row r="41" spans="1:27">
      <c r="A41" s="149">
        <v>1</v>
      </c>
      <c r="B41" s="149" t="s">
        <v>793</v>
      </c>
      <c r="C41" s="149" t="s">
        <v>573</v>
      </c>
      <c r="D41" s="149" t="s">
        <v>832</v>
      </c>
      <c r="E41" s="149" t="s">
        <v>832</v>
      </c>
      <c r="F41" s="150">
        <v>3.78</v>
      </c>
      <c r="G41" s="150">
        <v>8.5500000000000007</v>
      </c>
      <c r="H41" s="150">
        <v>3.05</v>
      </c>
      <c r="I41" s="150">
        <v>3.96</v>
      </c>
      <c r="J41" s="151">
        <v>25546</v>
      </c>
      <c r="K41" s="149" t="str">
        <f t="shared" si="1"/>
        <v>A:3,78 x C:8,55 x L:3,05-3,96 x P:25.546kg</v>
      </c>
      <c r="N41" s="149" t="str">
        <f t="shared" si="0"/>
        <v>040895870</v>
      </c>
      <c r="O41" s="155">
        <v>40895870000190</v>
      </c>
      <c r="P41" s="149" t="s">
        <v>833</v>
      </c>
      <c r="Q41" s="149" t="s">
        <v>834</v>
      </c>
      <c r="R41" s="149" t="s">
        <v>611</v>
      </c>
      <c r="S41" s="145" t="s">
        <v>579</v>
      </c>
    </row>
    <row r="42" spans="1:27">
      <c r="A42" s="149">
        <v>2</v>
      </c>
      <c r="B42" s="149" t="s">
        <v>21</v>
      </c>
      <c r="C42" s="149" t="s">
        <v>835</v>
      </c>
      <c r="D42" s="149" t="s">
        <v>836</v>
      </c>
      <c r="E42" s="149" t="s">
        <v>836</v>
      </c>
      <c r="F42" s="150">
        <v>4.0999999999999996</v>
      </c>
      <c r="G42" s="150">
        <v>7.7</v>
      </c>
      <c r="H42" s="150">
        <v>3.7</v>
      </c>
      <c r="I42" s="150">
        <v>4.0999999999999996</v>
      </c>
      <c r="J42" s="151">
        <v>10600</v>
      </c>
      <c r="K42" s="149" t="str">
        <f t="shared" si="1"/>
        <v>A:4,10 x C:7,70 x L:3,70-4,10 x P:10.600kg</v>
      </c>
      <c r="N42" s="149" t="str">
        <f t="shared" si="0"/>
        <v>078206513</v>
      </c>
      <c r="O42" s="155">
        <v>78206513000140</v>
      </c>
      <c r="P42" s="149" t="s">
        <v>837</v>
      </c>
      <c r="Q42" s="149" t="s">
        <v>497</v>
      </c>
      <c r="R42" s="149" t="s">
        <v>838</v>
      </c>
      <c r="S42" s="2" t="s">
        <v>839</v>
      </c>
    </row>
    <row r="43" spans="1:27">
      <c r="A43" s="149">
        <v>2</v>
      </c>
      <c r="B43" s="149" t="s">
        <v>21</v>
      </c>
      <c r="C43" s="149" t="s">
        <v>835</v>
      </c>
      <c r="D43" s="149" t="s">
        <v>840</v>
      </c>
      <c r="E43" s="149" t="s">
        <v>840</v>
      </c>
      <c r="F43" s="150">
        <v>4.0999999999999996</v>
      </c>
      <c r="G43" s="150">
        <v>7.7</v>
      </c>
      <c r="H43" s="150">
        <v>3.4</v>
      </c>
      <c r="I43" s="150">
        <v>4.0999999999999996</v>
      </c>
      <c r="J43" s="151">
        <v>11800</v>
      </c>
      <c r="K43" s="149" t="str">
        <f t="shared" si="1"/>
        <v>A:4,10 x C:7,70 x L:3,40-4,10 x P:11.800kg</v>
      </c>
      <c r="N43" s="149" t="str">
        <f t="shared" si="0"/>
        <v>050435638</v>
      </c>
      <c r="O43" s="155">
        <v>50435638000123</v>
      </c>
      <c r="P43" s="149" t="s">
        <v>841</v>
      </c>
      <c r="Q43" s="149" t="s">
        <v>445</v>
      </c>
      <c r="R43" s="149" t="s">
        <v>644</v>
      </c>
      <c r="S43" s="145" t="s">
        <v>839</v>
      </c>
    </row>
    <row r="44" spans="1:27">
      <c r="A44" s="149">
        <v>2</v>
      </c>
      <c r="B44" s="149" t="s">
        <v>21</v>
      </c>
      <c r="C44" s="149" t="s">
        <v>835</v>
      </c>
      <c r="D44" s="149" t="s">
        <v>842</v>
      </c>
      <c r="E44" s="149" t="s">
        <v>842</v>
      </c>
      <c r="F44" s="150">
        <v>4.0999999999999996</v>
      </c>
      <c r="G44" s="150">
        <v>6.68</v>
      </c>
      <c r="H44" s="150">
        <v>3.2</v>
      </c>
      <c r="I44" s="150">
        <v>3.3</v>
      </c>
      <c r="J44" s="151">
        <v>14000</v>
      </c>
      <c r="K44" s="149" t="str">
        <f t="shared" si="1"/>
        <v>A:4,10 x C:6,68 x L:3,20-3,30 x P:14.000kg</v>
      </c>
      <c r="N44" s="149" t="str">
        <f t="shared" si="0"/>
        <v>038052835</v>
      </c>
      <c r="O44" s="155">
        <v>38052835000168</v>
      </c>
      <c r="P44" s="149" t="s">
        <v>843</v>
      </c>
      <c r="Q44" s="149" t="s">
        <v>844</v>
      </c>
      <c r="R44" s="149" t="s">
        <v>644</v>
      </c>
      <c r="S44" s="2" t="s">
        <v>839</v>
      </c>
    </row>
    <row r="45" spans="1:27">
      <c r="A45" s="149">
        <v>2</v>
      </c>
      <c r="B45" s="149" t="s">
        <v>21</v>
      </c>
      <c r="C45" s="149" t="s">
        <v>835</v>
      </c>
      <c r="D45" s="149" t="s">
        <v>845</v>
      </c>
      <c r="E45" s="149" t="s">
        <v>845</v>
      </c>
      <c r="F45" s="150">
        <v>3.8</v>
      </c>
      <c r="G45" s="150">
        <v>10</v>
      </c>
      <c r="H45" s="150">
        <v>3.7</v>
      </c>
      <c r="I45" s="150">
        <v>4.2</v>
      </c>
      <c r="J45" s="151">
        <v>15938</v>
      </c>
      <c r="K45" s="149" t="str">
        <f t="shared" si="1"/>
        <v>A:3,80 x C:10,00 x L:3,70-4,20 x P:15.938kg</v>
      </c>
      <c r="N45" s="149" t="str">
        <f t="shared" si="0"/>
        <v>017489822</v>
      </c>
      <c r="O45" s="155">
        <v>17489822000180</v>
      </c>
      <c r="P45" s="149" t="s">
        <v>846</v>
      </c>
      <c r="Q45" s="149" t="s">
        <v>847</v>
      </c>
      <c r="R45" s="149" t="s">
        <v>644</v>
      </c>
      <c r="S45" s="145" t="s">
        <v>839</v>
      </c>
    </row>
    <row r="46" spans="1:27">
      <c r="A46" s="149">
        <v>2</v>
      </c>
      <c r="B46" s="149" t="s">
        <v>21</v>
      </c>
      <c r="C46" s="149" t="s">
        <v>835</v>
      </c>
      <c r="D46" s="149" t="s">
        <v>848</v>
      </c>
      <c r="E46" s="149" t="s">
        <v>848</v>
      </c>
      <c r="F46" s="150">
        <v>3.98</v>
      </c>
      <c r="G46" s="150">
        <v>10.5</v>
      </c>
      <c r="H46" s="150">
        <v>3.4</v>
      </c>
      <c r="I46" s="150">
        <v>5.2</v>
      </c>
      <c r="J46" s="151">
        <v>18599</v>
      </c>
      <c r="K46" s="149" t="str">
        <f t="shared" si="1"/>
        <v>A:3,98 x C:10,50 x L:3,40-5,20 x P:18.599kg</v>
      </c>
      <c r="N46" s="149" t="str">
        <f t="shared" si="0"/>
        <v>061234985</v>
      </c>
      <c r="O46" s="155">
        <v>61234985014164</v>
      </c>
      <c r="P46" s="149" t="s">
        <v>849</v>
      </c>
      <c r="Q46" s="149" t="s">
        <v>850</v>
      </c>
      <c r="R46" s="149" t="s">
        <v>851</v>
      </c>
      <c r="S46" s="2" t="s">
        <v>839</v>
      </c>
    </row>
    <row r="47" spans="1:27">
      <c r="A47" s="149">
        <v>2</v>
      </c>
      <c r="B47" s="149" t="s">
        <v>21</v>
      </c>
      <c r="C47" s="149" t="s">
        <v>835</v>
      </c>
      <c r="D47" s="149" t="s">
        <v>852</v>
      </c>
      <c r="E47" s="149" t="s">
        <v>852</v>
      </c>
      <c r="F47" s="150">
        <v>3.98</v>
      </c>
      <c r="G47" s="150">
        <v>10.5</v>
      </c>
      <c r="H47" s="150">
        <v>3.4</v>
      </c>
      <c r="I47" s="150">
        <v>5.2</v>
      </c>
      <c r="J47" s="151">
        <v>19226</v>
      </c>
      <c r="K47" s="149" t="str">
        <f t="shared" si="1"/>
        <v>A:3,98 x C:10,50 x L:3,40-5,20 x P:19.226kg</v>
      </c>
      <c r="N47" s="149" t="str">
        <f t="shared" si="0"/>
        <v>061234985</v>
      </c>
      <c r="O47" s="155">
        <v>61234985000961</v>
      </c>
      <c r="P47" s="149" t="s">
        <v>849</v>
      </c>
      <c r="Q47" s="149" t="s">
        <v>850</v>
      </c>
      <c r="R47" s="149" t="s">
        <v>704</v>
      </c>
      <c r="S47" s="145" t="s">
        <v>839</v>
      </c>
    </row>
    <row r="48" spans="1:27">
      <c r="A48" s="149">
        <v>2</v>
      </c>
      <c r="B48" s="149" t="s">
        <v>21</v>
      </c>
      <c r="C48" s="149" t="s">
        <v>835</v>
      </c>
      <c r="D48" s="149" t="s">
        <v>853</v>
      </c>
      <c r="E48" s="149" t="s">
        <v>853</v>
      </c>
      <c r="F48" s="150">
        <v>3.98</v>
      </c>
      <c r="G48" s="150">
        <v>12.1</v>
      </c>
      <c r="H48" s="150">
        <v>3.5</v>
      </c>
      <c r="I48" s="150">
        <v>5.43</v>
      </c>
      <c r="J48" s="151">
        <v>21921</v>
      </c>
      <c r="K48" s="149" t="str">
        <f t="shared" si="1"/>
        <v>A:3,98 x C:12,10 x L:3,50-5,43 x P:21.921kg</v>
      </c>
      <c r="N48" s="149" t="str">
        <f t="shared" si="0"/>
        <v>061234985</v>
      </c>
      <c r="O48" s="155">
        <v>61234985015993</v>
      </c>
      <c r="P48" s="149" t="s">
        <v>849</v>
      </c>
      <c r="Q48" s="149" t="s">
        <v>850</v>
      </c>
      <c r="R48" s="149" t="s">
        <v>838</v>
      </c>
      <c r="S48" s="2" t="s">
        <v>839</v>
      </c>
    </row>
    <row r="49" spans="1:19">
      <c r="A49" s="149">
        <v>2</v>
      </c>
      <c r="B49" s="149" t="s">
        <v>21</v>
      </c>
      <c r="C49" s="149" t="s">
        <v>835</v>
      </c>
      <c r="D49" s="149" t="s">
        <v>854</v>
      </c>
      <c r="E49" s="149" t="s">
        <v>854</v>
      </c>
      <c r="F49" s="150">
        <v>3.98</v>
      </c>
      <c r="G49" s="150">
        <v>12.1</v>
      </c>
      <c r="H49" s="150">
        <v>3.5</v>
      </c>
      <c r="I49" s="150">
        <v>5.43</v>
      </c>
      <c r="J49" s="151">
        <v>22185</v>
      </c>
      <c r="K49" s="149" t="str">
        <f t="shared" si="1"/>
        <v>A:3,98 x C:12,10 x L:3,50-5,43 x P:22.185kg</v>
      </c>
      <c r="N49" s="149" t="str">
        <f t="shared" si="0"/>
        <v>061234985</v>
      </c>
      <c r="O49" s="155">
        <v>61234985015306</v>
      </c>
      <c r="P49" s="149" t="s">
        <v>849</v>
      </c>
      <c r="Q49" s="149" t="s">
        <v>850</v>
      </c>
      <c r="R49" s="149" t="s">
        <v>611</v>
      </c>
      <c r="S49" s="145" t="s">
        <v>839</v>
      </c>
    </row>
    <row r="50" spans="1:19">
      <c r="A50" s="149">
        <v>2</v>
      </c>
      <c r="B50" s="149" t="s">
        <v>21</v>
      </c>
      <c r="C50" s="149" t="s">
        <v>835</v>
      </c>
      <c r="D50" s="149" t="s">
        <v>855</v>
      </c>
      <c r="E50" s="149" t="s">
        <v>855</v>
      </c>
      <c r="F50" s="150">
        <v>4</v>
      </c>
      <c r="G50" s="150">
        <v>10.6</v>
      </c>
      <c r="H50" s="150">
        <v>3.5</v>
      </c>
      <c r="I50" s="150">
        <v>5.2</v>
      </c>
      <c r="J50" s="151">
        <v>18599</v>
      </c>
      <c r="K50" s="149" t="str">
        <f t="shared" si="1"/>
        <v>A:4,00 x C:10,60 x L:3,50-5,20 x P:18.599kg</v>
      </c>
      <c r="N50" s="149" t="str">
        <f t="shared" si="0"/>
        <v>061234985</v>
      </c>
      <c r="O50" s="155">
        <v>61234985015560</v>
      </c>
      <c r="P50" s="149" t="s">
        <v>849</v>
      </c>
      <c r="Q50" s="149" t="s">
        <v>850</v>
      </c>
      <c r="R50" s="149" t="s">
        <v>644</v>
      </c>
      <c r="S50" s="145" t="s">
        <v>839</v>
      </c>
    </row>
    <row r="51" spans="1:19">
      <c r="A51" s="149">
        <v>2</v>
      </c>
      <c r="B51" s="149" t="s">
        <v>21</v>
      </c>
      <c r="C51" s="149" t="s">
        <v>835</v>
      </c>
      <c r="D51" s="149" t="s">
        <v>856</v>
      </c>
      <c r="E51" s="149" t="s">
        <v>856</v>
      </c>
      <c r="F51" s="150">
        <v>4</v>
      </c>
      <c r="G51" s="150">
        <v>10.5</v>
      </c>
      <c r="H51" s="150">
        <v>3.5</v>
      </c>
      <c r="I51" s="150">
        <v>5.2</v>
      </c>
      <c r="J51" s="151">
        <v>19226</v>
      </c>
      <c r="K51" s="149" t="str">
        <f t="shared" si="1"/>
        <v>A:4,00 x C:10,50 x L:3,50-5,20 x P:19.226kg</v>
      </c>
      <c r="N51" s="149" t="str">
        <f t="shared" si="0"/>
        <v>061234985</v>
      </c>
      <c r="O51" s="155">
        <v>61234985012544</v>
      </c>
      <c r="P51" s="149" t="s">
        <v>849</v>
      </c>
      <c r="Q51" s="149" t="s">
        <v>850</v>
      </c>
      <c r="R51" s="149" t="s">
        <v>857</v>
      </c>
      <c r="S51" s="145" t="s">
        <v>839</v>
      </c>
    </row>
    <row r="52" spans="1:19">
      <c r="A52" s="149">
        <v>2</v>
      </c>
      <c r="B52" s="149" t="s">
        <v>21</v>
      </c>
      <c r="C52" s="149" t="s">
        <v>835</v>
      </c>
      <c r="D52" s="149" t="s">
        <v>858</v>
      </c>
      <c r="E52" s="149" t="s">
        <v>858</v>
      </c>
      <c r="F52" s="150">
        <v>4</v>
      </c>
      <c r="G52" s="150">
        <v>12.1</v>
      </c>
      <c r="H52" s="150">
        <v>3.5</v>
      </c>
      <c r="I52" s="150">
        <v>5.43</v>
      </c>
      <c r="J52" s="151">
        <v>21921</v>
      </c>
      <c r="K52" s="149" t="str">
        <f t="shared" si="1"/>
        <v>A:4,00 x C:12,10 x L:3,50-5,43 x P:21.921kg</v>
      </c>
      <c r="N52" s="149" t="str">
        <f t="shared" si="0"/>
        <v>000472957</v>
      </c>
      <c r="O52" s="155">
        <v>472957000300</v>
      </c>
      <c r="P52" s="149" t="s">
        <v>859</v>
      </c>
      <c r="Q52" s="149" t="s">
        <v>860</v>
      </c>
      <c r="R52" s="149" t="s">
        <v>651</v>
      </c>
      <c r="S52" s="145" t="s">
        <v>839</v>
      </c>
    </row>
    <row r="53" spans="1:19">
      <c r="A53" s="149">
        <v>2</v>
      </c>
      <c r="B53" s="149" t="s">
        <v>21</v>
      </c>
      <c r="C53" s="149" t="s">
        <v>835</v>
      </c>
      <c r="D53" s="149" t="s">
        <v>861</v>
      </c>
      <c r="E53" s="149" t="s">
        <v>861</v>
      </c>
      <c r="F53" s="150">
        <v>4</v>
      </c>
      <c r="G53" s="150">
        <v>12.1</v>
      </c>
      <c r="H53" s="150">
        <v>3.5</v>
      </c>
      <c r="I53" s="150">
        <v>5.43</v>
      </c>
      <c r="J53" s="151">
        <v>22185</v>
      </c>
      <c r="K53" s="149" t="str">
        <f t="shared" si="1"/>
        <v>A:4,00 x C:12,10 x L:3,50-5,43 x P:22.185kg</v>
      </c>
      <c r="N53" s="149" t="str">
        <f t="shared" si="0"/>
        <v>000472957</v>
      </c>
      <c r="O53" s="155">
        <v>472957000130</v>
      </c>
      <c r="P53" s="149" t="s">
        <v>859</v>
      </c>
      <c r="Q53" s="149" t="s">
        <v>860</v>
      </c>
      <c r="R53" s="149" t="s">
        <v>644</v>
      </c>
      <c r="S53" s="2" t="s">
        <v>839</v>
      </c>
    </row>
    <row r="54" spans="1:19">
      <c r="A54" s="149">
        <v>3</v>
      </c>
      <c r="B54" s="149" t="s">
        <v>23</v>
      </c>
      <c r="C54" s="149" t="s">
        <v>862</v>
      </c>
      <c r="D54" s="149" t="s">
        <v>863</v>
      </c>
      <c r="E54" s="149" t="s">
        <v>864</v>
      </c>
      <c r="F54" s="150">
        <v>1.5</v>
      </c>
      <c r="G54" s="150">
        <v>5</v>
      </c>
      <c r="H54" s="150">
        <v>1.9</v>
      </c>
      <c r="I54" s="150">
        <v>1.9</v>
      </c>
      <c r="J54" s="151">
        <v>2000</v>
      </c>
      <c r="K54" s="149" t="str">
        <f t="shared" si="1"/>
        <v>A:1,50 x C:5,00 x L:1,90-1,90 x P:2.000kg</v>
      </c>
      <c r="N54" s="149" t="str">
        <f t="shared" si="0"/>
        <v>076669324</v>
      </c>
      <c r="O54" s="155">
        <v>76669324000189</v>
      </c>
      <c r="P54" s="149" t="s">
        <v>865</v>
      </c>
      <c r="Q54" s="149" t="s">
        <v>501</v>
      </c>
      <c r="R54" s="149" t="s">
        <v>838</v>
      </c>
      <c r="S54" s="2" t="s">
        <v>839</v>
      </c>
    </row>
    <row r="55" spans="1:19">
      <c r="A55" s="149">
        <v>3</v>
      </c>
      <c r="B55" s="149" t="s">
        <v>23</v>
      </c>
      <c r="C55" s="149" t="s">
        <v>862</v>
      </c>
      <c r="D55" s="149" t="s">
        <v>866</v>
      </c>
      <c r="E55" s="149" t="s">
        <v>867</v>
      </c>
      <c r="F55" s="150">
        <v>1.5</v>
      </c>
      <c r="G55" s="150">
        <v>5.5</v>
      </c>
      <c r="H55" s="150">
        <v>1.9</v>
      </c>
      <c r="I55" s="150">
        <v>1.9</v>
      </c>
      <c r="J55" s="151">
        <v>2200</v>
      </c>
      <c r="K55" s="149" t="str">
        <f t="shared" si="1"/>
        <v>A:1,50 x C:5,50 x L:1,90-1,90 x P:2.200kg</v>
      </c>
      <c r="N55" s="149" t="str">
        <f t="shared" si="0"/>
        <v>004892707</v>
      </c>
      <c r="O55" s="155">
        <v>4892707000100</v>
      </c>
      <c r="P55" s="149" t="s">
        <v>868</v>
      </c>
      <c r="Q55" s="149" t="s">
        <v>493</v>
      </c>
      <c r="R55" s="149" t="s">
        <v>869</v>
      </c>
      <c r="S55" s="2" t="s">
        <v>839</v>
      </c>
    </row>
    <row r="56" spans="1:19">
      <c r="A56" s="149">
        <v>3</v>
      </c>
      <c r="B56" s="149" t="s">
        <v>23</v>
      </c>
      <c r="C56" s="149" t="s">
        <v>862</v>
      </c>
      <c r="D56" s="149" t="s">
        <v>870</v>
      </c>
      <c r="E56" s="149" t="s">
        <v>871</v>
      </c>
      <c r="F56" s="150">
        <v>1.5</v>
      </c>
      <c r="G56" s="150">
        <v>6</v>
      </c>
      <c r="H56" s="150">
        <v>1.9</v>
      </c>
      <c r="I56" s="150">
        <v>1.9</v>
      </c>
      <c r="J56" s="151">
        <v>2400</v>
      </c>
      <c r="K56" s="149" t="str">
        <f t="shared" si="1"/>
        <v>A:1,50 x C:6,00 x L:1,90-1,90 x P:2.400kg</v>
      </c>
      <c r="N56" s="149" t="str">
        <f t="shared" si="0"/>
        <v>007516914</v>
      </c>
      <c r="O56" s="155">
        <v>7516914000159</v>
      </c>
      <c r="P56" s="149" t="s">
        <v>872</v>
      </c>
      <c r="Q56" s="149" t="s">
        <v>873</v>
      </c>
      <c r="R56" s="149" t="s">
        <v>874</v>
      </c>
      <c r="S56" s="2" t="s">
        <v>839</v>
      </c>
    </row>
    <row r="57" spans="1:19">
      <c r="A57" s="149">
        <v>3</v>
      </c>
      <c r="B57" s="149" t="s">
        <v>23</v>
      </c>
      <c r="C57" s="149" t="s">
        <v>862</v>
      </c>
      <c r="D57" s="149" t="s">
        <v>875</v>
      </c>
      <c r="E57" s="149" t="s">
        <v>876</v>
      </c>
      <c r="F57" s="150">
        <v>1.5</v>
      </c>
      <c r="G57" s="150">
        <v>6.5</v>
      </c>
      <c r="H57" s="150">
        <v>1.9</v>
      </c>
      <c r="I57" s="150">
        <v>1.9</v>
      </c>
      <c r="J57" s="151">
        <v>2600</v>
      </c>
      <c r="K57" s="149" t="str">
        <f t="shared" si="1"/>
        <v>A:1,50 x C:6,50 x L:1,90-1,90 x P:2.600kg</v>
      </c>
      <c r="N57" s="149" t="str">
        <f t="shared" si="0"/>
        <v>045585920</v>
      </c>
      <c r="O57" s="155">
        <v>45585920000157</v>
      </c>
      <c r="P57" s="149" t="s">
        <v>877</v>
      </c>
      <c r="Q57" s="149" t="s">
        <v>878</v>
      </c>
      <c r="R57" s="149" t="s">
        <v>644</v>
      </c>
      <c r="S57" s="2" t="s">
        <v>839</v>
      </c>
    </row>
    <row r="58" spans="1:19">
      <c r="A58" s="149">
        <v>3</v>
      </c>
      <c r="B58" s="149" t="s">
        <v>23</v>
      </c>
      <c r="C58" s="149" t="s">
        <v>862</v>
      </c>
      <c r="D58" s="149" t="s">
        <v>879</v>
      </c>
      <c r="E58" s="149" t="s">
        <v>880</v>
      </c>
      <c r="F58" s="150">
        <v>1.5</v>
      </c>
      <c r="G58" s="150">
        <v>7</v>
      </c>
      <c r="H58" s="150">
        <v>1.9</v>
      </c>
      <c r="I58" s="150">
        <v>1.9</v>
      </c>
      <c r="J58" s="151">
        <v>2800</v>
      </c>
      <c r="K58" s="149" t="str">
        <f t="shared" si="1"/>
        <v>A:1,50 x C:7,00 x L:1,90-1,90 x P:2.800kg</v>
      </c>
      <c r="N58" s="149" t="str">
        <f t="shared" si="0"/>
        <v>041544387</v>
      </c>
      <c r="O58" s="155">
        <v>41544387000124</v>
      </c>
      <c r="P58" s="149" t="s">
        <v>881</v>
      </c>
      <c r="Q58" s="149" t="s">
        <v>882</v>
      </c>
      <c r="R58" s="149" t="s">
        <v>883</v>
      </c>
      <c r="S58" s="2" t="s">
        <v>839</v>
      </c>
    </row>
    <row r="59" spans="1:19">
      <c r="A59" s="149">
        <v>3</v>
      </c>
      <c r="B59" s="149" t="s">
        <v>23</v>
      </c>
      <c r="C59" s="149" t="s">
        <v>862</v>
      </c>
      <c r="D59" s="149" t="s">
        <v>884</v>
      </c>
      <c r="E59" s="149" t="s">
        <v>885</v>
      </c>
      <c r="F59" s="150">
        <v>1.5</v>
      </c>
      <c r="G59" s="150">
        <v>7.5</v>
      </c>
      <c r="H59" s="150">
        <v>1.9</v>
      </c>
      <c r="I59" s="150">
        <v>1.9</v>
      </c>
      <c r="J59" s="151">
        <v>3000</v>
      </c>
      <c r="K59" s="149" t="str">
        <f t="shared" si="1"/>
        <v>A:1,50 x C:7,50 x L:1,90-1,90 x P:3.000kg</v>
      </c>
      <c r="N59" s="149" t="str">
        <f t="shared" si="0"/>
        <v>016671210</v>
      </c>
      <c r="O59" s="155">
        <v>16671210000222</v>
      </c>
      <c r="P59" s="149" t="s">
        <v>886</v>
      </c>
      <c r="Q59" s="149" t="s">
        <v>887</v>
      </c>
      <c r="R59" s="149" t="s">
        <v>888</v>
      </c>
      <c r="S59" s="2" t="s">
        <v>839</v>
      </c>
    </row>
    <row r="60" spans="1:19">
      <c r="A60" s="149">
        <v>3</v>
      </c>
      <c r="B60" s="149" t="s">
        <v>23</v>
      </c>
      <c r="C60" s="149" t="s">
        <v>862</v>
      </c>
      <c r="D60" s="149" t="s">
        <v>889</v>
      </c>
      <c r="E60" s="149" t="s">
        <v>890</v>
      </c>
      <c r="F60" s="150">
        <v>1.5</v>
      </c>
      <c r="G60" s="150">
        <v>8</v>
      </c>
      <c r="H60" s="150">
        <v>1.9</v>
      </c>
      <c r="I60" s="150">
        <v>1.9</v>
      </c>
      <c r="J60" s="151">
        <v>3200</v>
      </c>
      <c r="K60" s="149" t="str">
        <f t="shared" si="1"/>
        <v>A:1,50 x C:8,00 x L:1,90-1,90 x P:3.200kg</v>
      </c>
      <c r="N60" s="149" t="str">
        <f t="shared" si="0"/>
        <v>016671210</v>
      </c>
      <c r="O60" s="155">
        <v>16671210000141</v>
      </c>
      <c r="P60" s="149" t="s">
        <v>886</v>
      </c>
      <c r="Q60" s="149" t="s">
        <v>887</v>
      </c>
      <c r="R60" s="149" t="s">
        <v>644</v>
      </c>
      <c r="S60" s="2" t="s">
        <v>839</v>
      </c>
    </row>
    <row r="61" spans="1:19">
      <c r="A61" s="149">
        <v>3</v>
      </c>
      <c r="B61" s="149" t="s">
        <v>23</v>
      </c>
      <c r="C61" s="149" t="s">
        <v>862</v>
      </c>
      <c r="D61" s="149" t="s">
        <v>891</v>
      </c>
      <c r="E61" s="149" t="s">
        <v>892</v>
      </c>
      <c r="F61" s="150">
        <v>1.5</v>
      </c>
      <c r="G61" s="150">
        <v>8.5</v>
      </c>
      <c r="H61" s="150">
        <v>1.9</v>
      </c>
      <c r="I61" s="150">
        <v>1.9</v>
      </c>
      <c r="J61" s="151">
        <v>3400</v>
      </c>
      <c r="K61" s="149" t="str">
        <f t="shared" si="1"/>
        <v>A:1,50 x C:8,50 x L:1,90-1,90 x P:3.400kg</v>
      </c>
      <c r="N61" s="149" t="str">
        <f t="shared" si="0"/>
        <v>085004729</v>
      </c>
      <c r="O61" s="155">
        <v>85004729000199</v>
      </c>
      <c r="P61" s="149" t="s">
        <v>893</v>
      </c>
      <c r="Q61" s="149" t="s">
        <v>894</v>
      </c>
      <c r="R61" s="149" t="s">
        <v>644</v>
      </c>
      <c r="S61" s="2" t="s">
        <v>839</v>
      </c>
    </row>
    <row r="62" spans="1:19">
      <c r="A62" s="149">
        <v>3</v>
      </c>
      <c r="B62" s="149" t="s">
        <v>23</v>
      </c>
      <c r="C62" s="149" t="s">
        <v>862</v>
      </c>
      <c r="D62" s="149" t="s">
        <v>895</v>
      </c>
      <c r="E62" s="149" t="s">
        <v>896</v>
      </c>
      <c r="F62" s="150">
        <v>1.5</v>
      </c>
      <c r="G62" s="150">
        <v>9</v>
      </c>
      <c r="H62" s="150">
        <v>1.9</v>
      </c>
      <c r="I62" s="150">
        <v>1.9</v>
      </c>
      <c r="J62" s="151">
        <v>3600</v>
      </c>
      <c r="K62" s="149" t="str">
        <f t="shared" si="1"/>
        <v>A:1,50 x C:9,00 x L:1,90-1,90 x P:3.600kg</v>
      </c>
      <c r="N62" s="149" t="str">
        <f t="shared" si="0"/>
        <v>014540032</v>
      </c>
      <c r="O62" s="155">
        <v>14540032000194</v>
      </c>
      <c r="P62" s="149" t="s">
        <v>897</v>
      </c>
      <c r="Q62" s="149" t="s">
        <v>898</v>
      </c>
      <c r="R62" s="149" t="s">
        <v>644</v>
      </c>
      <c r="S62" s="2" t="s">
        <v>839</v>
      </c>
    </row>
    <row r="63" spans="1:19">
      <c r="A63" s="149">
        <v>3</v>
      </c>
      <c r="B63" s="149" t="s">
        <v>23</v>
      </c>
      <c r="C63" s="149" t="s">
        <v>862</v>
      </c>
      <c r="D63" s="149" t="s">
        <v>899</v>
      </c>
      <c r="E63" s="149" t="s">
        <v>900</v>
      </c>
      <c r="F63" s="150">
        <v>1.5</v>
      </c>
      <c r="G63" s="150">
        <v>9.5</v>
      </c>
      <c r="H63" s="150">
        <v>1.9</v>
      </c>
      <c r="I63" s="150">
        <v>1.9</v>
      </c>
      <c r="J63" s="151">
        <v>3800</v>
      </c>
      <c r="K63" s="149" t="str">
        <f t="shared" si="1"/>
        <v>A:1,50 x C:9,50 x L:1,90-1,90 x P:3.800kg</v>
      </c>
      <c r="N63" s="149" t="str">
        <f t="shared" si="0"/>
        <v>072032824</v>
      </c>
      <c r="O63" s="155">
        <v>72032824000154</v>
      </c>
      <c r="P63" s="149" t="s">
        <v>901</v>
      </c>
      <c r="Q63" s="149" t="s">
        <v>902</v>
      </c>
      <c r="R63" s="149" t="s">
        <v>644</v>
      </c>
      <c r="S63" s="2" t="s">
        <v>839</v>
      </c>
    </row>
    <row r="64" spans="1:19">
      <c r="A64" s="149">
        <v>3</v>
      </c>
      <c r="B64" s="149" t="s">
        <v>23</v>
      </c>
      <c r="C64" s="149" t="s">
        <v>862</v>
      </c>
      <c r="D64" s="149" t="s">
        <v>903</v>
      </c>
      <c r="E64" s="149" t="s">
        <v>904</v>
      </c>
      <c r="F64" s="150">
        <v>1.5</v>
      </c>
      <c r="G64" s="150">
        <v>10</v>
      </c>
      <c r="H64" s="150">
        <v>1.9</v>
      </c>
      <c r="I64" s="150">
        <v>1.9</v>
      </c>
      <c r="J64" s="151">
        <v>4000</v>
      </c>
      <c r="K64" s="149" t="str">
        <f t="shared" si="1"/>
        <v>A:1,50 x C:10,00 x L:1,90-1,90 x P:4.000kg</v>
      </c>
      <c r="N64" s="149" t="str">
        <f t="shared" si="0"/>
        <v>037969440</v>
      </c>
      <c r="O64" s="155">
        <v>37969440000161</v>
      </c>
      <c r="P64" s="149" t="s">
        <v>905</v>
      </c>
      <c r="Q64" s="149" t="s">
        <v>380</v>
      </c>
      <c r="R64" s="149" t="s">
        <v>644</v>
      </c>
      <c r="S64" s="2" t="s">
        <v>839</v>
      </c>
    </row>
    <row r="65" spans="1:19">
      <c r="A65" s="149">
        <v>3</v>
      </c>
      <c r="B65" s="149" t="s">
        <v>23</v>
      </c>
      <c r="C65" s="149" t="s">
        <v>862</v>
      </c>
      <c r="D65" s="149" t="s">
        <v>906</v>
      </c>
      <c r="E65" s="149" t="s">
        <v>907</v>
      </c>
      <c r="F65" s="150">
        <v>1.5</v>
      </c>
      <c r="G65" s="150">
        <v>10.5</v>
      </c>
      <c r="H65" s="150">
        <v>1.9</v>
      </c>
      <c r="I65" s="150">
        <v>1.9</v>
      </c>
      <c r="J65" s="151">
        <v>4200</v>
      </c>
      <c r="K65" s="149" t="str">
        <f t="shared" si="1"/>
        <v>A:1,50 x C:10,50 x L:1,90-1,90 x P:4.200kg</v>
      </c>
      <c r="N65" s="149" t="str">
        <f t="shared" si="0"/>
        <v>020110520</v>
      </c>
      <c r="O65" s="155">
        <v>20110520000164</v>
      </c>
      <c r="P65" s="149" t="s">
        <v>908</v>
      </c>
      <c r="Q65" s="149" t="s">
        <v>909</v>
      </c>
      <c r="R65" s="149" t="s">
        <v>644</v>
      </c>
      <c r="S65" s="2" t="s">
        <v>839</v>
      </c>
    </row>
    <row r="66" spans="1:19">
      <c r="A66" s="149">
        <v>3</v>
      </c>
      <c r="B66" s="149" t="s">
        <v>23</v>
      </c>
      <c r="C66" s="149" t="s">
        <v>862</v>
      </c>
      <c r="D66" s="149" t="s">
        <v>910</v>
      </c>
      <c r="E66" s="149" t="s">
        <v>911</v>
      </c>
      <c r="F66" s="150">
        <v>1.5</v>
      </c>
      <c r="G66" s="150">
        <v>11</v>
      </c>
      <c r="H66" s="150">
        <v>1.9</v>
      </c>
      <c r="I66" s="150">
        <v>1.9</v>
      </c>
      <c r="J66" s="151">
        <v>4400</v>
      </c>
      <c r="K66" s="149" t="str">
        <f t="shared" si="1"/>
        <v>A:1,50 x C:11,00 x L:1,90-1,90 x P:4.400kg</v>
      </c>
      <c r="N66" s="149" t="str">
        <f t="shared" ref="N66:N129" si="2">"0"&amp;LEFT(TEXT(SUBSTITUTE(SUBSTITUTE(SUBSTITUTE(O66,".",""),"/",""),"-",""),"00000000000000"),8)</f>
        <v>009167582</v>
      </c>
      <c r="O66" s="155">
        <v>9167582000170</v>
      </c>
      <c r="P66" s="149" t="s">
        <v>912</v>
      </c>
      <c r="Q66" s="149" t="s">
        <v>913</v>
      </c>
      <c r="R66" s="149" t="s">
        <v>644</v>
      </c>
      <c r="S66" s="2" t="s">
        <v>839</v>
      </c>
    </row>
    <row r="67" spans="1:19">
      <c r="A67" s="149">
        <v>3</v>
      </c>
      <c r="B67" s="149" t="s">
        <v>23</v>
      </c>
      <c r="C67" s="149" t="s">
        <v>862</v>
      </c>
      <c r="D67" s="149" t="s">
        <v>914</v>
      </c>
      <c r="E67" s="149" t="s">
        <v>915</v>
      </c>
      <c r="F67" s="150">
        <v>1.5</v>
      </c>
      <c r="G67" s="150">
        <v>11.5</v>
      </c>
      <c r="H67" s="150">
        <v>1.9</v>
      </c>
      <c r="I67" s="150">
        <v>1.9</v>
      </c>
      <c r="J67" s="151">
        <v>4600</v>
      </c>
      <c r="K67" s="149" t="str">
        <f t="shared" ref="K67:K130" si="3">"A:"&amp;TEXT(F67,"0,00")&amp;" x C:"&amp;TEXT(G67,"0,00")&amp;" x L:"&amp;TEXT(H67,"0,00")&amp;"-"&amp;TEXT(I67,"0,00")&amp;" x P:"&amp;TEXT(J67,"0.00")&amp;"kg"</f>
        <v>A:1,50 x C:11,50 x L:1,90-1,90 x P:4.600kg</v>
      </c>
      <c r="N67" s="149" t="str">
        <f t="shared" si="2"/>
        <v>033254429</v>
      </c>
      <c r="O67" s="155">
        <v>33254429000164</v>
      </c>
      <c r="P67" s="149" t="s">
        <v>916</v>
      </c>
      <c r="Q67" s="149" t="s">
        <v>394</v>
      </c>
      <c r="R67" s="149" t="s">
        <v>620</v>
      </c>
      <c r="S67" s="2" t="s">
        <v>839</v>
      </c>
    </row>
    <row r="68" spans="1:19">
      <c r="A68" s="149">
        <v>3</v>
      </c>
      <c r="B68" s="149" t="s">
        <v>23</v>
      </c>
      <c r="C68" s="149" t="s">
        <v>862</v>
      </c>
      <c r="D68" s="149" t="s">
        <v>917</v>
      </c>
      <c r="E68" s="149" t="s">
        <v>918</v>
      </c>
      <c r="F68" s="150">
        <v>1.5</v>
      </c>
      <c r="G68" s="150">
        <v>12</v>
      </c>
      <c r="H68" s="150">
        <v>1.9</v>
      </c>
      <c r="I68" s="150">
        <v>1.9</v>
      </c>
      <c r="J68" s="151">
        <v>4800</v>
      </c>
      <c r="K68" s="149" t="str">
        <f t="shared" si="3"/>
        <v>A:1,50 x C:12,00 x L:1,90-1,90 x P:4.800kg</v>
      </c>
      <c r="N68" s="149" t="str">
        <f t="shared" si="2"/>
        <v>020165766</v>
      </c>
      <c r="O68" s="155">
        <v>20165766000133</v>
      </c>
      <c r="P68" s="149" t="s">
        <v>919</v>
      </c>
      <c r="Q68" s="149" t="s">
        <v>920</v>
      </c>
      <c r="R68" s="149" t="s">
        <v>644</v>
      </c>
      <c r="S68" s="2" t="s">
        <v>839</v>
      </c>
    </row>
    <row r="69" spans="1:19">
      <c r="A69" s="149">
        <v>3</v>
      </c>
      <c r="B69" s="149" t="s">
        <v>23</v>
      </c>
      <c r="C69" s="149" t="s">
        <v>862</v>
      </c>
      <c r="D69" s="149" t="s">
        <v>921</v>
      </c>
      <c r="E69" s="149" t="s">
        <v>922</v>
      </c>
      <c r="F69" s="150">
        <v>1.5</v>
      </c>
      <c r="G69" s="150">
        <v>12.5</v>
      </c>
      <c r="H69" s="150">
        <v>1.9</v>
      </c>
      <c r="I69" s="150">
        <v>1.9</v>
      </c>
      <c r="J69" s="151">
        <v>5000</v>
      </c>
      <c r="K69" s="149" t="str">
        <f t="shared" si="3"/>
        <v>A:1,50 x C:12,50 x L:1,90-1,90 x P:5.000kg</v>
      </c>
      <c r="N69" s="149" t="str">
        <f t="shared" si="2"/>
        <v>003162671</v>
      </c>
      <c r="O69" s="155">
        <v>3162671000147</v>
      </c>
      <c r="P69" s="149" t="s">
        <v>923</v>
      </c>
      <c r="Q69" s="149" t="s">
        <v>924</v>
      </c>
      <c r="R69" s="149" t="s">
        <v>644</v>
      </c>
      <c r="S69" s="2" t="s">
        <v>839</v>
      </c>
    </row>
    <row r="70" spans="1:19">
      <c r="A70" s="149">
        <v>3</v>
      </c>
      <c r="B70" s="149" t="s">
        <v>23</v>
      </c>
      <c r="C70" s="149" t="s">
        <v>925</v>
      </c>
      <c r="D70" s="149" t="s">
        <v>926</v>
      </c>
      <c r="E70" s="149" t="s">
        <v>927</v>
      </c>
      <c r="F70" s="150">
        <v>1.5</v>
      </c>
      <c r="G70" s="150">
        <v>2</v>
      </c>
      <c r="H70" s="150">
        <v>1.9</v>
      </c>
      <c r="I70" s="150">
        <v>1.9</v>
      </c>
      <c r="J70" s="151">
        <v>1000</v>
      </c>
      <c r="K70" s="149" t="str">
        <f t="shared" si="3"/>
        <v>A:1,50 x C:2,00 x L:1,90-1,90 x P:1.000kg</v>
      </c>
      <c r="N70" s="149" t="str">
        <f t="shared" si="2"/>
        <v>004421739</v>
      </c>
      <c r="O70" s="155">
        <v>4421739000128</v>
      </c>
      <c r="P70" s="149" t="s">
        <v>928</v>
      </c>
      <c r="Q70" s="149" t="s">
        <v>929</v>
      </c>
      <c r="R70" s="149" t="s">
        <v>611</v>
      </c>
      <c r="S70" s="145" t="s">
        <v>839</v>
      </c>
    </row>
    <row r="71" spans="1:19">
      <c r="A71" s="149">
        <v>3</v>
      </c>
      <c r="B71" s="149" t="s">
        <v>23</v>
      </c>
      <c r="C71" s="149" t="s">
        <v>925</v>
      </c>
      <c r="D71" s="149" t="s">
        <v>930</v>
      </c>
      <c r="E71" s="149" t="s">
        <v>931</v>
      </c>
      <c r="F71" s="150">
        <v>1.5</v>
      </c>
      <c r="G71" s="150">
        <v>2.5</v>
      </c>
      <c r="H71" s="150">
        <v>1.9</v>
      </c>
      <c r="I71" s="150">
        <v>1.9</v>
      </c>
      <c r="J71" s="151">
        <v>1150</v>
      </c>
      <c r="K71" s="149" t="str">
        <f t="shared" si="3"/>
        <v>A:1,50 x C:2,50 x L:1,90-1,90 x P:1.150kg</v>
      </c>
      <c r="N71" s="149" t="str">
        <f t="shared" si="2"/>
        <v>004421739</v>
      </c>
      <c r="O71" s="155">
        <v>4421739000390</v>
      </c>
      <c r="P71" s="149" t="s">
        <v>928</v>
      </c>
      <c r="Q71" s="149" t="s">
        <v>929</v>
      </c>
      <c r="R71" s="149" t="s">
        <v>611</v>
      </c>
      <c r="S71" s="145" t="s">
        <v>839</v>
      </c>
    </row>
    <row r="72" spans="1:19">
      <c r="A72" s="149">
        <v>3</v>
      </c>
      <c r="B72" s="149" t="s">
        <v>23</v>
      </c>
      <c r="C72" s="149" t="s">
        <v>925</v>
      </c>
      <c r="D72" s="149" t="s">
        <v>932</v>
      </c>
      <c r="E72" s="149" t="s">
        <v>933</v>
      </c>
      <c r="F72" s="150">
        <v>1.5</v>
      </c>
      <c r="G72" s="150">
        <v>3</v>
      </c>
      <c r="H72" s="150">
        <v>1.9</v>
      </c>
      <c r="I72" s="150">
        <v>1.9</v>
      </c>
      <c r="J72" s="151">
        <v>1380</v>
      </c>
      <c r="K72" s="149" t="str">
        <f t="shared" si="3"/>
        <v>A:1,50 x C:3,00 x L:1,90-1,90 x P:1.380kg</v>
      </c>
      <c r="N72" s="149" t="str">
        <f t="shared" si="2"/>
        <v>004421739</v>
      </c>
      <c r="O72" s="155">
        <v>4421739000470</v>
      </c>
      <c r="P72" s="149" t="s">
        <v>928</v>
      </c>
      <c r="Q72" s="149" t="s">
        <v>929</v>
      </c>
      <c r="R72" s="149" t="s">
        <v>611</v>
      </c>
      <c r="S72" s="145" t="s">
        <v>839</v>
      </c>
    </row>
    <row r="73" spans="1:19">
      <c r="A73" s="149">
        <v>3</v>
      </c>
      <c r="B73" s="149" t="s">
        <v>23</v>
      </c>
      <c r="C73" s="149" t="s">
        <v>925</v>
      </c>
      <c r="D73" s="149" t="s">
        <v>934</v>
      </c>
      <c r="E73" s="149" t="s">
        <v>935</v>
      </c>
      <c r="F73" s="150">
        <v>1.5</v>
      </c>
      <c r="G73" s="150">
        <v>3.5</v>
      </c>
      <c r="H73" s="150">
        <v>1.9</v>
      </c>
      <c r="I73" s="150">
        <v>1.9</v>
      </c>
      <c r="J73" s="151">
        <v>1610</v>
      </c>
      <c r="K73" s="149" t="str">
        <f t="shared" si="3"/>
        <v>A:1,50 x C:3,50 x L:1,90-1,90 x P:1.610kg</v>
      </c>
      <c r="N73" s="149" t="str">
        <f t="shared" si="2"/>
        <v>082332735</v>
      </c>
      <c r="O73" s="155">
        <v>82332735000500</v>
      </c>
      <c r="P73" s="149" t="s">
        <v>936</v>
      </c>
      <c r="Q73" s="149" t="s">
        <v>937</v>
      </c>
      <c r="R73" s="149" t="s">
        <v>644</v>
      </c>
      <c r="S73" s="145" t="s">
        <v>839</v>
      </c>
    </row>
    <row r="74" spans="1:19">
      <c r="A74" s="149">
        <v>3</v>
      </c>
      <c r="B74" s="149" t="s">
        <v>23</v>
      </c>
      <c r="C74" s="149" t="s">
        <v>925</v>
      </c>
      <c r="D74" s="149" t="s">
        <v>938</v>
      </c>
      <c r="E74" s="149" t="s">
        <v>939</v>
      </c>
      <c r="F74" s="150">
        <v>1.5</v>
      </c>
      <c r="G74" s="150">
        <v>4</v>
      </c>
      <c r="H74" s="150">
        <v>1.9</v>
      </c>
      <c r="I74" s="150">
        <v>1.9</v>
      </c>
      <c r="J74" s="151">
        <v>1840</v>
      </c>
      <c r="K74" s="149" t="str">
        <f t="shared" si="3"/>
        <v>A:1,50 x C:4,00 x L:1,90-1,90 x P:1.840kg</v>
      </c>
      <c r="N74" s="149" t="str">
        <f t="shared" si="2"/>
        <v>082332735</v>
      </c>
      <c r="O74" s="155">
        <v>82332735000420</v>
      </c>
      <c r="P74" s="149" t="s">
        <v>940</v>
      </c>
      <c r="Q74" s="149" t="s">
        <v>937</v>
      </c>
      <c r="R74" s="149" t="s">
        <v>644</v>
      </c>
      <c r="S74" s="145" t="s">
        <v>839</v>
      </c>
    </row>
    <row r="75" spans="1:19">
      <c r="A75" s="149">
        <v>3</v>
      </c>
      <c r="B75" s="149" t="s">
        <v>23</v>
      </c>
      <c r="C75" s="149" t="s">
        <v>925</v>
      </c>
      <c r="D75" s="149" t="s">
        <v>941</v>
      </c>
      <c r="E75" s="149" t="s">
        <v>942</v>
      </c>
      <c r="F75" s="150">
        <v>1.5</v>
      </c>
      <c r="G75" s="150">
        <v>4.5</v>
      </c>
      <c r="H75" s="150">
        <v>1.9</v>
      </c>
      <c r="I75" s="150">
        <v>1.9</v>
      </c>
      <c r="J75" s="151">
        <v>2070</v>
      </c>
      <c r="K75" s="149" t="str">
        <f t="shared" si="3"/>
        <v>A:1,50 x C:4,50 x L:1,90-1,90 x P:2.070kg</v>
      </c>
      <c r="N75" s="149" t="str">
        <f t="shared" si="2"/>
        <v>082332735</v>
      </c>
      <c r="O75" s="155">
        <v>82332735000268</v>
      </c>
      <c r="P75" s="149" t="s">
        <v>943</v>
      </c>
      <c r="Q75" s="149" t="s">
        <v>937</v>
      </c>
      <c r="R75" s="149" t="s">
        <v>644</v>
      </c>
      <c r="S75" s="145" t="s">
        <v>839</v>
      </c>
    </row>
    <row r="76" spans="1:19">
      <c r="A76" s="149">
        <v>3</v>
      </c>
      <c r="B76" s="149" t="s">
        <v>23</v>
      </c>
      <c r="C76" s="149" t="s">
        <v>925</v>
      </c>
      <c r="D76" s="149" t="s">
        <v>944</v>
      </c>
      <c r="E76" s="149" t="s">
        <v>945</v>
      </c>
      <c r="F76" s="150">
        <v>1.5</v>
      </c>
      <c r="G76" s="150">
        <v>5</v>
      </c>
      <c r="H76" s="150">
        <v>1.9</v>
      </c>
      <c r="I76" s="150">
        <v>1.9</v>
      </c>
      <c r="J76" s="151">
        <v>2300</v>
      </c>
      <c r="K76" s="149" t="str">
        <f t="shared" si="3"/>
        <v>A:1,50 x C:5,00 x L:1,90-1,90 x P:2.300kg</v>
      </c>
      <c r="N76" s="149" t="str">
        <f t="shared" si="2"/>
        <v>082332735</v>
      </c>
      <c r="O76" s="155">
        <v>82332735000853</v>
      </c>
      <c r="P76" s="149" t="s">
        <v>943</v>
      </c>
      <c r="Q76" s="149" t="s">
        <v>937</v>
      </c>
      <c r="R76" s="149" t="s">
        <v>644</v>
      </c>
      <c r="S76" s="145" t="s">
        <v>839</v>
      </c>
    </row>
    <row r="77" spans="1:19">
      <c r="A77" s="149">
        <v>3</v>
      </c>
      <c r="B77" s="149" t="s">
        <v>23</v>
      </c>
      <c r="C77" s="149" t="s">
        <v>925</v>
      </c>
      <c r="D77" s="149" t="s">
        <v>946</v>
      </c>
      <c r="E77" s="149" t="s">
        <v>947</v>
      </c>
      <c r="F77" s="150">
        <v>1.5</v>
      </c>
      <c r="G77" s="150">
        <v>5.5</v>
      </c>
      <c r="H77" s="150">
        <v>1.9</v>
      </c>
      <c r="I77" s="150">
        <v>1.9</v>
      </c>
      <c r="J77" s="151">
        <v>2530</v>
      </c>
      <c r="K77" s="149" t="str">
        <f t="shared" si="3"/>
        <v>A:1,50 x C:5,50 x L:1,90-1,90 x P:2.530kg</v>
      </c>
      <c r="N77" s="149" t="str">
        <f t="shared" si="2"/>
        <v>082332735</v>
      </c>
      <c r="O77" s="155">
        <v>82332735000349</v>
      </c>
      <c r="P77" s="149" t="s">
        <v>948</v>
      </c>
      <c r="Q77" s="149" t="s">
        <v>937</v>
      </c>
      <c r="R77" s="149" t="s">
        <v>644</v>
      </c>
      <c r="S77" s="145" t="s">
        <v>839</v>
      </c>
    </row>
    <row r="78" spans="1:19">
      <c r="A78" s="149">
        <v>3</v>
      </c>
      <c r="B78" s="149" t="s">
        <v>23</v>
      </c>
      <c r="C78" s="149" t="s">
        <v>925</v>
      </c>
      <c r="D78" s="149" t="s">
        <v>949</v>
      </c>
      <c r="E78" s="149" t="s">
        <v>950</v>
      </c>
      <c r="F78" s="150">
        <v>1.5</v>
      </c>
      <c r="G78" s="150">
        <v>6</v>
      </c>
      <c r="H78" s="150">
        <v>1.9</v>
      </c>
      <c r="I78" s="150">
        <v>1.9</v>
      </c>
      <c r="J78" s="151">
        <v>2760</v>
      </c>
      <c r="K78" s="149" t="str">
        <f t="shared" si="3"/>
        <v>A:1,50 x C:6,00 x L:1,90-1,90 x P:2.760kg</v>
      </c>
      <c r="N78" s="149" t="str">
        <f t="shared" si="2"/>
        <v>082332735</v>
      </c>
      <c r="O78" s="155">
        <v>82332735000187</v>
      </c>
      <c r="P78" s="149" t="s">
        <v>951</v>
      </c>
      <c r="Q78" s="149" t="s">
        <v>937</v>
      </c>
      <c r="R78" s="149" t="s">
        <v>644</v>
      </c>
      <c r="S78" s="145" t="s">
        <v>839</v>
      </c>
    </row>
    <row r="79" spans="1:19">
      <c r="A79" s="149">
        <v>3</v>
      </c>
      <c r="B79" s="149" t="s">
        <v>23</v>
      </c>
      <c r="C79" s="149" t="s">
        <v>925</v>
      </c>
      <c r="D79" s="149" t="s">
        <v>952</v>
      </c>
      <c r="E79" s="149" t="s">
        <v>953</v>
      </c>
      <c r="F79" s="150">
        <v>1.5</v>
      </c>
      <c r="G79" s="150">
        <v>6.5</v>
      </c>
      <c r="H79" s="150">
        <v>1.9</v>
      </c>
      <c r="I79" s="150">
        <v>1.9</v>
      </c>
      <c r="J79" s="151">
        <v>2990</v>
      </c>
      <c r="K79" s="149" t="str">
        <f t="shared" si="3"/>
        <v>A:1,50 x C:6,50 x L:1,90-1,90 x P:2.990kg</v>
      </c>
      <c r="N79" s="149" t="str">
        <f t="shared" si="2"/>
        <v>011780069</v>
      </c>
      <c r="O79" s="155">
        <v>11780069000100</v>
      </c>
      <c r="P79" s="149" t="s">
        <v>954</v>
      </c>
      <c r="Q79" s="149" t="s">
        <v>955</v>
      </c>
      <c r="R79" s="149" t="s">
        <v>644</v>
      </c>
      <c r="S79" s="145" t="s">
        <v>839</v>
      </c>
    </row>
    <row r="80" spans="1:19">
      <c r="A80" s="149">
        <v>3</v>
      </c>
      <c r="B80" s="149" t="s">
        <v>23</v>
      </c>
      <c r="C80" s="149" t="s">
        <v>925</v>
      </c>
      <c r="D80" s="149" t="s">
        <v>956</v>
      </c>
      <c r="E80" s="149" t="s">
        <v>957</v>
      </c>
      <c r="F80" s="150">
        <v>1.5</v>
      </c>
      <c r="G80" s="150">
        <v>7</v>
      </c>
      <c r="H80" s="150">
        <v>1.9</v>
      </c>
      <c r="I80" s="150">
        <v>1.9</v>
      </c>
      <c r="J80" s="151">
        <v>3220</v>
      </c>
      <c r="K80" s="149" t="str">
        <f t="shared" si="3"/>
        <v>A:1,50 x C:7,00 x L:1,90-1,90 x P:3.220kg</v>
      </c>
      <c r="N80" s="149" t="str">
        <f t="shared" si="2"/>
        <v>059354979</v>
      </c>
      <c r="O80" s="155">
        <v>59354979000149</v>
      </c>
      <c r="P80" s="149" t="s">
        <v>958</v>
      </c>
      <c r="Q80" s="149" t="s">
        <v>959</v>
      </c>
      <c r="R80" s="149" t="s">
        <v>644</v>
      </c>
      <c r="S80" s="145" t="s">
        <v>839</v>
      </c>
    </row>
    <row r="81" spans="1:19">
      <c r="A81" s="149">
        <v>3</v>
      </c>
      <c r="B81" s="149" t="s">
        <v>23</v>
      </c>
      <c r="C81" s="149" t="s">
        <v>925</v>
      </c>
      <c r="D81" s="149" t="s">
        <v>960</v>
      </c>
      <c r="E81" s="149" t="s">
        <v>961</v>
      </c>
      <c r="F81" s="150">
        <v>1.5</v>
      </c>
      <c r="G81" s="150">
        <v>7.5</v>
      </c>
      <c r="H81" s="150">
        <v>1.9</v>
      </c>
      <c r="I81" s="150">
        <v>1.9</v>
      </c>
      <c r="J81" s="151">
        <v>3450</v>
      </c>
      <c r="K81" s="149" t="str">
        <f t="shared" si="3"/>
        <v>A:1,50 x C:7,50 x L:1,90-1,90 x P:3.450kg</v>
      </c>
      <c r="N81" s="149" t="str">
        <f t="shared" si="2"/>
        <v>013809515</v>
      </c>
      <c r="O81" s="155">
        <v>13809515000189</v>
      </c>
      <c r="P81" s="149" t="s">
        <v>962</v>
      </c>
      <c r="Q81" s="149" t="s">
        <v>963</v>
      </c>
      <c r="R81" s="149" t="s">
        <v>651</v>
      </c>
      <c r="S81" s="2" t="s">
        <v>839</v>
      </c>
    </row>
    <row r="82" spans="1:19">
      <c r="A82" s="149">
        <v>3</v>
      </c>
      <c r="B82" s="149" t="s">
        <v>23</v>
      </c>
      <c r="C82" s="149" t="s">
        <v>925</v>
      </c>
      <c r="D82" s="149" t="s">
        <v>964</v>
      </c>
      <c r="E82" s="149" t="s">
        <v>965</v>
      </c>
      <c r="F82" s="150">
        <v>1.5</v>
      </c>
      <c r="G82" s="150">
        <v>8</v>
      </c>
      <c r="H82" s="150">
        <v>1.9</v>
      </c>
      <c r="I82" s="150">
        <v>1.9</v>
      </c>
      <c r="J82" s="151">
        <v>3680</v>
      </c>
      <c r="K82" s="149" t="str">
        <f t="shared" si="3"/>
        <v>A:1,50 x C:8,00 x L:1,90-1,90 x P:3.680kg</v>
      </c>
      <c r="N82" s="149" t="str">
        <f t="shared" si="2"/>
        <v>044336898</v>
      </c>
      <c r="O82" s="155">
        <v>44336898000149</v>
      </c>
      <c r="P82" s="149" t="s">
        <v>966</v>
      </c>
      <c r="Q82" s="149" t="s">
        <v>967</v>
      </c>
      <c r="R82" s="149" t="s">
        <v>644</v>
      </c>
      <c r="S82" s="145" t="s">
        <v>839</v>
      </c>
    </row>
    <row r="83" spans="1:19">
      <c r="A83" s="149">
        <v>3</v>
      </c>
      <c r="B83" s="149" t="s">
        <v>23</v>
      </c>
      <c r="C83" s="149" t="s">
        <v>968</v>
      </c>
      <c r="D83" s="149" t="s">
        <v>964</v>
      </c>
      <c r="E83" s="149" t="s">
        <v>969</v>
      </c>
      <c r="F83" s="150">
        <v>1.6</v>
      </c>
      <c r="G83" s="150">
        <v>4.88</v>
      </c>
      <c r="H83" s="150">
        <v>1.8</v>
      </c>
      <c r="I83" s="150">
        <v>1.8</v>
      </c>
      <c r="J83" s="151">
        <v>1900</v>
      </c>
      <c r="K83" s="149" t="str">
        <f t="shared" si="3"/>
        <v>A:1,60 x C:4,88 x L:1,80-1,80 x P:1.900kg</v>
      </c>
      <c r="N83" s="149" t="str">
        <f t="shared" si="2"/>
        <v>012831793</v>
      </c>
      <c r="O83" s="155">
        <v>12831793000170</v>
      </c>
      <c r="P83" s="149" t="s">
        <v>970</v>
      </c>
      <c r="Q83" s="149" t="s">
        <v>971</v>
      </c>
      <c r="R83" s="149" t="s">
        <v>644</v>
      </c>
      <c r="S83" s="2" t="s">
        <v>839</v>
      </c>
    </row>
    <row r="84" spans="1:19">
      <c r="A84" s="149">
        <v>3</v>
      </c>
      <c r="B84" s="149" t="s">
        <v>23</v>
      </c>
      <c r="C84" s="149" t="s">
        <v>972</v>
      </c>
      <c r="D84" s="149" t="s">
        <v>964</v>
      </c>
      <c r="E84" s="149" t="s">
        <v>973</v>
      </c>
      <c r="F84" s="150">
        <v>1.6</v>
      </c>
      <c r="G84" s="150">
        <v>4.88</v>
      </c>
      <c r="H84" s="150">
        <v>1.7</v>
      </c>
      <c r="I84" s="150">
        <v>1.7</v>
      </c>
      <c r="J84" s="151">
        <v>1800</v>
      </c>
      <c r="K84" s="149" t="str">
        <f t="shared" si="3"/>
        <v>A:1,60 x C:4,88 x L:1,70-1,70 x P:1.800kg</v>
      </c>
      <c r="N84" s="149" t="str">
        <f t="shared" si="2"/>
        <v>038126289</v>
      </c>
      <c r="O84" s="155">
        <v>38126289000162</v>
      </c>
      <c r="P84" s="149" t="s">
        <v>974</v>
      </c>
      <c r="Q84" s="149" t="s">
        <v>975</v>
      </c>
      <c r="R84" s="149" t="s">
        <v>644</v>
      </c>
      <c r="S84" s="145" t="s">
        <v>839</v>
      </c>
    </row>
    <row r="85" spans="1:19">
      <c r="A85" s="149">
        <v>3</v>
      </c>
      <c r="B85" s="149" t="s">
        <v>23</v>
      </c>
      <c r="C85" s="149" t="s">
        <v>925</v>
      </c>
      <c r="D85" s="149" t="s">
        <v>976</v>
      </c>
      <c r="E85" s="149" t="s">
        <v>977</v>
      </c>
      <c r="F85" s="150">
        <v>1.5</v>
      </c>
      <c r="G85" s="150">
        <v>8.5</v>
      </c>
      <c r="H85" s="150">
        <v>1.9</v>
      </c>
      <c r="I85" s="150">
        <v>1.9</v>
      </c>
      <c r="J85" s="151">
        <v>3910</v>
      </c>
      <c r="K85" s="149" t="str">
        <f t="shared" si="3"/>
        <v>A:1,50 x C:8,50 x L:1,90-1,90 x P:3.910kg</v>
      </c>
      <c r="N85" s="149" t="str">
        <f t="shared" si="2"/>
        <v>010273940</v>
      </c>
      <c r="O85" s="155">
        <v>10273940000108</v>
      </c>
      <c r="P85" s="149" t="s">
        <v>978</v>
      </c>
      <c r="Q85" s="149" t="s">
        <v>456</v>
      </c>
      <c r="R85" s="149" t="s">
        <v>644</v>
      </c>
      <c r="S85" s="145" t="s">
        <v>839</v>
      </c>
    </row>
    <row r="86" spans="1:19">
      <c r="A86" s="149">
        <v>3</v>
      </c>
      <c r="B86" s="149" t="s">
        <v>23</v>
      </c>
      <c r="C86" s="149" t="s">
        <v>968</v>
      </c>
      <c r="D86" s="149" t="s">
        <v>979</v>
      </c>
      <c r="E86" s="149" t="s">
        <v>980</v>
      </c>
      <c r="F86" s="150">
        <v>1.6</v>
      </c>
      <c r="G86" s="150">
        <v>5.49</v>
      </c>
      <c r="H86" s="150">
        <v>1.8</v>
      </c>
      <c r="I86" s="150">
        <v>1.8</v>
      </c>
      <c r="J86" s="151">
        <v>2050</v>
      </c>
      <c r="K86" s="149" t="str">
        <f t="shared" si="3"/>
        <v>A:1,60 x C:5,49 x L:1,80-1,80 x P:2.050kg</v>
      </c>
      <c r="N86" s="149" t="str">
        <f t="shared" si="2"/>
        <v>007424946</v>
      </c>
      <c r="O86" s="155">
        <v>7424946000124</v>
      </c>
      <c r="P86" s="149" t="s">
        <v>981</v>
      </c>
      <c r="Q86" s="149" t="s">
        <v>982</v>
      </c>
      <c r="R86" s="149" t="s">
        <v>644</v>
      </c>
      <c r="S86" s="145" t="s">
        <v>839</v>
      </c>
    </row>
    <row r="87" spans="1:19">
      <c r="A87" s="149">
        <v>3</v>
      </c>
      <c r="B87" s="149" t="s">
        <v>23</v>
      </c>
      <c r="C87" s="149" t="s">
        <v>972</v>
      </c>
      <c r="D87" s="149" t="s">
        <v>979</v>
      </c>
      <c r="E87" s="149" t="s">
        <v>983</v>
      </c>
      <c r="F87" s="150">
        <v>1.6</v>
      </c>
      <c r="G87" s="150">
        <v>5.49</v>
      </c>
      <c r="H87" s="150">
        <v>1.7</v>
      </c>
      <c r="I87" s="150">
        <v>1.7</v>
      </c>
      <c r="J87" s="151">
        <v>1950</v>
      </c>
      <c r="K87" s="149" t="str">
        <f t="shared" si="3"/>
        <v>A:1,60 x C:5,49 x L:1,70-1,70 x P:1.950kg</v>
      </c>
      <c r="N87" s="149" t="str">
        <f t="shared" si="2"/>
        <v>021915466</v>
      </c>
      <c r="O87" s="155" t="s">
        <v>984</v>
      </c>
      <c r="P87" s="149" t="s">
        <v>985</v>
      </c>
      <c r="Q87" s="149" t="s">
        <v>986</v>
      </c>
      <c r="R87" s="149" t="s">
        <v>987</v>
      </c>
      <c r="S87" s="145" t="s">
        <v>839</v>
      </c>
    </row>
    <row r="88" spans="1:19">
      <c r="A88" s="149">
        <v>3</v>
      </c>
      <c r="B88" s="149" t="s">
        <v>23</v>
      </c>
      <c r="C88" s="149" t="s">
        <v>968</v>
      </c>
      <c r="D88" s="149" t="s">
        <v>988</v>
      </c>
      <c r="E88" s="149" t="s">
        <v>989</v>
      </c>
      <c r="F88" s="150">
        <v>1.6</v>
      </c>
      <c r="G88" s="150">
        <v>6.1</v>
      </c>
      <c r="H88" s="150">
        <v>1.8</v>
      </c>
      <c r="I88" s="150">
        <v>1.8</v>
      </c>
      <c r="J88" s="151">
        <v>2200</v>
      </c>
      <c r="K88" s="149" t="str">
        <f t="shared" si="3"/>
        <v>A:1,60 x C:6,10 x L:1,80-1,80 x P:2.200kg</v>
      </c>
      <c r="N88" s="149" t="str">
        <f t="shared" si="2"/>
        <v>006338414</v>
      </c>
      <c r="O88" s="155">
        <v>6338414000101</v>
      </c>
      <c r="P88" s="149" t="s">
        <v>990</v>
      </c>
      <c r="Q88" s="149" t="s">
        <v>991</v>
      </c>
      <c r="R88" s="149" t="s">
        <v>992</v>
      </c>
      <c r="S88" s="145" t="s">
        <v>839</v>
      </c>
    </row>
    <row r="89" spans="1:19">
      <c r="A89" s="149">
        <v>3</v>
      </c>
      <c r="B89" s="149" t="s">
        <v>23</v>
      </c>
      <c r="C89" s="149" t="s">
        <v>972</v>
      </c>
      <c r="D89" s="149" t="s">
        <v>988</v>
      </c>
      <c r="E89" s="149" t="s">
        <v>993</v>
      </c>
      <c r="F89" s="150">
        <v>1.6</v>
      </c>
      <c r="G89" s="150">
        <v>6.1</v>
      </c>
      <c r="H89" s="150">
        <v>1.7</v>
      </c>
      <c r="I89" s="150">
        <v>1.7</v>
      </c>
      <c r="J89" s="151">
        <v>2100</v>
      </c>
      <c r="K89" s="149" t="str">
        <f t="shared" si="3"/>
        <v>A:1,60 x C:6,10 x L:1,70-1,70 x P:2.100kg</v>
      </c>
      <c r="N89" s="149" t="str">
        <f t="shared" si="2"/>
        <v>024586837</v>
      </c>
      <c r="O89" s="155">
        <v>24586837000122</v>
      </c>
      <c r="P89" s="149" t="s">
        <v>994</v>
      </c>
      <c r="Q89" s="149" t="s">
        <v>512</v>
      </c>
      <c r="R89" s="149" t="s">
        <v>644</v>
      </c>
      <c r="S89" s="145" t="s">
        <v>839</v>
      </c>
    </row>
    <row r="90" spans="1:19">
      <c r="A90" s="149">
        <v>3</v>
      </c>
      <c r="B90" s="149" t="s">
        <v>23</v>
      </c>
      <c r="C90" s="149" t="s">
        <v>925</v>
      </c>
      <c r="D90" s="149" t="s">
        <v>995</v>
      </c>
      <c r="E90" s="149" t="s">
        <v>996</v>
      </c>
      <c r="F90" s="150">
        <v>1.6</v>
      </c>
      <c r="G90" s="150">
        <v>6.71</v>
      </c>
      <c r="H90" s="150">
        <v>1.8</v>
      </c>
      <c r="I90" s="150">
        <v>1.8</v>
      </c>
      <c r="J90" s="151">
        <v>2300</v>
      </c>
      <c r="K90" s="149" t="str">
        <f t="shared" si="3"/>
        <v>A:1,60 x C:6,71 x L:1,80-1,80 x P:2.300kg</v>
      </c>
      <c r="N90" s="149" t="str">
        <f t="shared" si="2"/>
        <v>016793575</v>
      </c>
      <c r="O90" s="155">
        <v>16793575000149</v>
      </c>
      <c r="P90" s="149" t="s">
        <v>997</v>
      </c>
      <c r="Q90" s="149" t="s">
        <v>998</v>
      </c>
      <c r="R90" s="149" t="s">
        <v>644</v>
      </c>
      <c r="S90" s="145" t="s">
        <v>839</v>
      </c>
    </row>
    <row r="91" spans="1:19">
      <c r="A91" s="149">
        <v>3</v>
      </c>
      <c r="B91" s="149" t="s">
        <v>23</v>
      </c>
      <c r="C91" s="149" t="s">
        <v>972</v>
      </c>
      <c r="D91" s="149" t="s">
        <v>995</v>
      </c>
      <c r="E91" s="149" t="s">
        <v>999</v>
      </c>
      <c r="F91" s="150">
        <v>1.6</v>
      </c>
      <c r="G91" s="150">
        <v>6.71</v>
      </c>
      <c r="H91" s="150">
        <v>1.7</v>
      </c>
      <c r="I91" s="150">
        <v>1.7</v>
      </c>
      <c r="J91" s="151">
        <v>2250</v>
      </c>
      <c r="K91" s="149" t="str">
        <f t="shared" si="3"/>
        <v>A:1,60 x C:6,71 x L:1,70-1,70 x P:2.250kg</v>
      </c>
      <c r="N91" s="149" t="str">
        <f t="shared" si="2"/>
        <v>018074418</v>
      </c>
      <c r="O91" s="155">
        <v>18074418000109</v>
      </c>
      <c r="P91" s="149" t="s">
        <v>1000</v>
      </c>
      <c r="Q91" s="149" t="s">
        <v>1001</v>
      </c>
      <c r="R91" s="149" t="s">
        <v>644</v>
      </c>
      <c r="S91" s="145" t="s">
        <v>839</v>
      </c>
    </row>
    <row r="92" spans="1:19">
      <c r="A92" s="149">
        <v>3</v>
      </c>
      <c r="B92" s="149" t="s">
        <v>23</v>
      </c>
      <c r="C92" s="149" t="s">
        <v>925</v>
      </c>
      <c r="D92" s="149" t="s">
        <v>1002</v>
      </c>
      <c r="E92" s="149" t="s">
        <v>1003</v>
      </c>
      <c r="F92" s="150">
        <v>1.5</v>
      </c>
      <c r="G92" s="150">
        <v>12</v>
      </c>
      <c r="H92" s="150">
        <v>1.9</v>
      </c>
      <c r="I92" s="150">
        <v>1.9</v>
      </c>
      <c r="J92" s="151">
        <v>5520</v>
      </c>
      <c r="K92" s="149" t="str">
        <f t="shared" si="3"/>
        <v>A:1,50 x C:12,00 x L:1,90-1,90 x P:5.520kg</v>
      </c>
      <c r="N92" s="149" t="str">
        <f t="shared" si="2"/>
        <v>081230021</v>
      </c>
      <c r="O92" s="155">
        <v>81230021000103</v>
      </c>
      <c r="P92" s="149" t="s">
        <v>1004</v>
      </c>
      <c r="Q92" s="149" t="s">
        <v>1005</v>
      </c>
      <c r="R92" s="149" t="s">
        <v>611</v>
      </c>
      <c r="S92" s="145" t="s">
        <v>839</v>
      </c>
    </row>
    <row r="93" spans="1:19">
      <c r="A93" s="149">
        <v>3</v>
      </c>
      <c r="B93" s="149" t="s">
        <v>23</v>
      </c>
      <c r="C93" s="149" t="s">
        <v>968</v>
      </c>
      <c r="D93" s="149" t="s">
        <v>1006</v>
      </c>
      <c r="E93" s="149" t="s">
        <v>1007</v>
      </c>
      <c r="F93" s="150">
        <v>1.6</v>
      </c>
      <c r="G93" s="150">
        <v>7.62</v>
      </c>
      <c r="H93" s="150">
        <v>1.8</v>
      </c>
      <c r="I93" s="150">
        <v>1.8</v>
      </c>
      <c r="J93" s="151">
        <v>2333</v>
      </c>
      <c r="K93" s="149" t="str">
        <f t="shared" si="3"/>
        <v>A:1,60 x C:7,62 x L:1,80-1,80 x P:2.333kg</v>
      </c>
      <c r="N93" s="149" t="str">
        <f t="shared" si="2"/>
        <v>019320206</v>
      </c>
      <c r="O93" s="155">
        <v>19320206000127</v>
      </c>
      <c r="P93" s="149" t="s">
        <v>1008</v>
      </c>
      <c r="Q93" s="149" t="s">
        <v>384</v>
      </c>
      <c r="R93" s="149" t="s">
        <v>620</v>
      </c>
      <c r="S93" s="145" t="s">
        <v>1009</v>
      </c>
    </row>
    <row r="94" spans="1:19">
      <c r="A94" s="149">
        <v>3</v>
      </c>
      <c r="B94" s="149" t="s">
        <v>23</v>
      </c>
      <c r="C94" s="149" t="s">
        <v>925</v>
      </c>
      <c r="D94" s="149" t="s">
        <v>1010</v>
      </c>
      <c r="E94" s="149" t="s">
        <v>1011</v>
      </c>
      <c r="F94" s="150">
        <v>1.5</v>
      </c>
      <c r="G94" s="150">
        <v>12.15</v>
      </c>
      <c r="H94" s="150">
        <v>1.9</v>
      </c>
      <c r="I94" s="150">
        <v>1.9</v>
      </c>
      <c r="J94" s="151">
        <v>6210</v>
      </c>
      <c r="K94" s="149" t="str">
        <f t="shared" si="3"/>
        <v>A:1,50 x C:12,15 x L:1,90-1,90 x P:6.210kg</v>
      </c>
      <c r="N94" s="149" t="str">
        <f t="shared" si="2"/>
        <v>048501079</v>
      </c>
      <c r="O94" s="155">
        <v>48501079000160</v>
      </c>
      <c r="P94" s="149" t="s">
        <v>1012</v>
      </c>
      <c r="Q94" s="149" t="s">
        <v>1013</v>
      </c>
      <c r="R94" s="149" t="s">
        <v>595</v>
      </c>
      <c r="S94" s="145" t="s">
        <v>1009</v>
      </c>
    </row>
    <row r="95" spans="1:19">
      <c r="A95" s="149">
        <v>3</v>
      </c>
      <c r="B95" s="149" t="s">
        <v>23</v>
      </c>
      <c r="C95" s="149" t="s">
        <v>968</v>
      </c>
      <c r="D95" s="149" t="s">
        <v>1014</v>
      </c>
      <c r="E95" s="149" t="s">
        <v>1015</v>
      </c>
      <c r="F95" s="150">
        <v>1.6</v>
      </c>
      <c r="G95" s="150">
        <v>9.14</v>
      </c>
      <c r="H95" s="150">
        <v>1.8</v>
      </c>
      <c r="I95" s="150">
        <v>1.8</v>
      </c>
      <c r="J95" s="151">
        <v>2871</v>
      </c>
      <c r="K95" s="149" t="str">
        <f t="shared" si="3"/>
        <v>A:1,60 x C:9,14 x L:1,80-1,80 x P:2.871kg</v>
      </c>
      <c r="N95" s="149" t="str">
        <f t="shared" si="2"/>
        <v>031553361</v>
      </c>
      <c r="O95" s="155">
        <v>31553361000199</v>
      </c>
      <c r="P95" s="149" t="s">
        <v>1016</v>
      </c>
      <c r="Q95" s="149" t="s">
        <v>1017</v>
      </c>
      <c r="R95" s="149" t="s">
        <v>611</v>
      </c>
      <c r="S95" s="145" t="s">
        <v>1009</v>
      </c>
    </row>
    <row r="96" spans="1:19">
      <c r="A96" s="149">
        <v>3</v>
      </c>
      <c r="B96" s="149" t="s">
        <v>23</v>
      </c>
      <c r="C96" s="149" t="s">
        <v>968</v>
      </c>
      <c r="D96" s="149" t="s">
        <v>1018</v>
      </c>
      <c r="E96" s="149" t="s">
        <v>1019</v>
      </c>
      <c r="F96" s="150">
        <v>1.6</v>
      </c>
      <c r="G96" s="150">
        <v>10.67</v>
      </c>
      <c r="H96" s="150">
        <v>1.8</v>
      </c>
      <c r="I96" s="150">
        <v>1.8</v>
      </c>
      <c r="J96" s="151">
        <v>3300</v>
      </c>
      <c r="K96" s="149" t="str">
        <f t="shared" si="3"/>
        <v>A:1,60 x C:10,67 x L:1,80-1,80 x P:3.300kg</v>
      </c>
      <c r="N96" s="149" t="str">
        <f t="shared" si="2"/>
        <v>046570181</v>
      </c>
      <c r="O96" s="155">
        <v>46570181000192</v>
      </c>
      <c r="P96" s="149" t="s">
        <v>1020</v>
      </c>
      <c r="Q96" s="149" t="s">
        <v>1021</v>
      </c>
      <c r="R96" s="149" t="s">
        <v>611</v>
      </c>
      <c r="S96" s="145" t="s">
        <v>1009</v>
      </c>
    </row>
    <row r="97" spans="1:19">
      <c r="A97" s="149">
        <v>3</v>
      </c>
      <c r="B97" s="149" t="s">
        <v>23</v>
      </c>
      <c r="C97" s="149" t="s">
        <v>1022</v>
      </c>
      <c r="D97" s="149" t="s">
        <v>1023</v>
      </c>
      <c r="E97" s="149" t="s">
        <v>1024</v>
      </c>
      <c r="F97" s="150">
        <v>1.6</v>
      </c>
      <c r="G97" s="150">
        <v>10.27</v>
      </c>
      <c r="H97" s="150">
        <v>2.7</v>
      </c>
      <c r="I97" s="150">
        <v>2.7</v>
      </c>
      <c r="J97" s="151">
        <v>3200</v>
      </c>
      <c r="K97" s="149" t="str">
        <f t="shared" si="3"/>
        <v>A:1,60 x C:10,27 x L:2,70-2,70 x P:3.200kg</v>
      </c>
      <c r="N97" s="149" t="str">
        <f t="shared" si="2"/>
        <v>006208105</v>
      </c>
      <c r="O97" s="155">
        <v>6208105001431</v>
      </c>
      <c r="P97" s="149" t="s">
        <v>1025</v>
      </c>
      <c r="Q97" s="149" t="s">
        <v>1026</v>
      </c>
      <c r="R97" s="149" t="s">
        <v>1027</v>
      </c>
      <c r="S97" s="145" t="s">
        <v>1009</v>
      </c>
    </row>
    <row r="98" spans="1:19">
      <c r="A98" s="149">
        <v>3</v>
      </c>
      <c r="B98" s="149" t="s">
        <v>23</v>
      </c>
      <c r="C98" s="149" t="s">
        <v>1022</v>
      </c>
      <c r="D98" s="149" t="s">
        <v>1028</v>
      </c>
      <c r="E98" s="149" t="s">
        <v>1029</v>
      </c>
      <c r="F98" s="150">
        <v>1.6</v>
      </c>
      <c r="G98" s="150">
        <v>11.79</v>
      </c>
      <c r="H98" s="150">
        <v>2.7</v>
      </c>
      <c r="I98" s="150">
        <v>2.7</v>
      </c>
      <c r="J98" s="151">
        <v>3646</v>
      </c>
      <c r="K98" s="149" t="str">
        <f t="shared" si="3"/>
        <v>A:1,60 x C:11,79 x L:2,70-2,70 x P:3.646kg</v>
      </c>
      <c r="N98" s="149" t="str">
        <f t="shared" si="2"/>
        <v>006208105</v>
      </c>
      <c r="O98" s="155">
        <v>6208105000117</v>
      </c>
      <c r="P98" s="149" t="s">
        <v>1030</v>
      </c>
      <c r="Q98" s="149" t="s">
        <v>1026</v>
      </c>
      <c r="R98" s="149" t="s">
        <v>992</v>
      </c>
      <c r="S98" s="2" t="s">
        <v>1009</v>
      </c>
    </row>
    <row r="99" spans="1:19">
      <c r="A99" s="149">
        <v>3</v>
      </c>
      <c r="B99" s="149" t="s">
        <v>23</v>
      </c>
      <c r="C99" s="149" t="s">
        <v>1022</v>
      </c>
      <c r="D99" s="149" t="s">
        <v>1031</v>
      </c>
      <c r="E99" s="149" t="s">
        <v>1032</v>
      </c>
      <c r="F99" s="150">
        <v>1.6</v>
      </c>
      <c r="G99" s="150">
        <v>13.32</v>
      </c>
      <c r="H99" s="150">
        <v>2.7</v>
      </c>
      <c r="I99" s="150">
        <v>2.7</v>
      </c>
      <c r="J99" s="151">
        <v>4055</v>
      </c>
      <c r="K99" s="149" t="str">
        <f t="shared" si="3"/>
        <v>A:1,60 x C:13,32 x L:2,70-2,70 x P:4.055kg</v>
      </c>
      <c r="N99" s="149" t="str">
        <f t="shared" si="2"/>
        <v>006208105</v>
      </c>
      <c r="O99" s="155">
        <v>6208105001008</v>
      </c>
      <c r="P99" s="149" t="s">
        <v>1033</v>
      </c>
      <c r="Q99" s="149" t="s">
        <v>1026</v>
      </c>
      <c r="R99" s="149" t="s">
        <v>1034</v>
      </c>
      <c r="S99" s="2" t="s">
        <v>1009</v>
      </c>
    </row>
    <row r="100" spans="1:19">
      <c r="A100" s="149">
        <v>3</v>
      </c>
      <c r="B100" s="149" t="s">
        <v>23</v>
      </c>
      <c r="C100" s="149" t="s">
        <v>1022</v>
      </c>
      <c r="D100" s="149" t="s">
        <v>1035</v>
      </c>
      <c r="E100" s="149" t="s">
        <v>1036</v>
      </c>
      <c r="F100" s="150">
        <v>1.6</v>
      </c>
      <c r="G100" s="150">
        <v>14.75</v>
      </c>
      <c r="H100" s="150">
        <v>2.7</v>
      </c>
      <c r="I100" s="150">
        <v>2.7</v>
      </c>
      <c r="J100" s="151">
        <v>4420</v>
      </c>
      <c r="K100" s="149" t="str">
        <f t="shared" si="3"/>
        <v>A:1,60 x C:14,75 x L:2,70-2,70 x P:4.420kg</v>
      </c>
      <c r="N100" s="149" t="str">
        <f t="shared" si="2"/>
        <v>006208105</v>
      </c>
      <c r="O100" s="155">
        <v>6208105000206</v>
      </c>
      <c r="P100" s="149" t="s">
        <v>1037</v>
      </c>
      <c r="Q100" s="149" t="s">
        <v>1026</v>
      </c>
      <c r="R100" s="149" t="s">
        <v>1038</v>
      </c>
      <c r="S100" s="2" t="s">
        <v>1009</v>
      </c>
    </row>
    <row r="101" spans="1:19">
      <c r="A101" s="149">
        <v>3</v>
      </c>
      <c r="B101" s="149" t="s">
        <v>23</v>
      </c>
      <c r="C101" s="149" t="s">
        <v>862</v>
      </c>
      <c r="D101" s="149" t="s">
        <v>1039</v>
      </c>
      <c r="E101" s="149" t="s">
        <v>1040</v>
      </c>
      <c r="F101" s="150">
        <v>1.5</v>
      </c>
      <c r="G101" s="150">
        <v>4</v>
      </c>
      <c r="H101" s="150">
        <v>1.9</v>
      </c>
      <c r="I101" s="150">
        <v>1.9</v>
      </c>
      <c r="J101" s="151">
        <v>1600</v>
      </c>
      <c r="K101" s="149" t="str">
        <f t="shared" si="3"/>
        <v>A:1,50 x C:4,00 x L:1,90-1,90 x P:1.600kg</v>
      </c>
      <c r="N101" s="149" t="str">
        <f t="shared" si="2"/>
        <v>006208105</v>
      </c>
      <c r="O101" s="155">
        <v>6208105000389</v>
      </c>
      <c r="P101" s="149" t="s">
        <v>1041</v>
      </c>
      <c r="Q101" s="149" t="s">
        <v>1026</v>
      </c>
      <c r="R101" s="149" t="s">
        <v>1042</v>
      </c>
      <c r="S101" s="145" t="s">
        <v>1009</v>
      </c>
    </row>
    <row r="102" spans="1:19">
      <c r="A102" s="149">
        <v>3</v>
      </c>
      <c r="B102" s="149" t="s">
        <v>23</v>
      </c>
      <c r="C102" s="149" t="s">
        <v>862</v>
      </c>
      <c r="D102" s="149" t="s">
        <v>1043</v>
      </c>
      <c r="E102" s="149" t="s">
        <v>1044</v>
      </c>
      <c r="F102" s="150">
        <v>1.5</v>
      </c>
      <c r="G102" s="150">
        <v>4.5</v>
      </c>
      <c r="H102" s="150">
        <v>1.9</v>
      </c>
      <c r="I102" s="150">
        <v>1.9</v>
      </c>
      <c r="J102" s="151">
        <v>1800</v>
      </c>
      <c r="K102" s="149" t="str">
        <f t="shared" si="3"/>
        <v>A:1,50 x C:4,50 x L:1,90-1,90 x P:1.800kg</v>
      </c>
      <c r="N102" s="149" t="str">
        <f t="shared" si="2"/>
        <v>006208105</v>
      </c>
      <c r="O102" s="155">
        <v>6208105000540</v>
      </c>
      <c r="P102" s="149" t="s">
        <v>1045</v>
      </c>
      <c r="Q102" s="149" t="s">
        <v>1026</v>
      </c>
      <c r="R102" s="149" t="s">
        <v>1046</v>
      </c>
      <c r="S102" s="145" t="s">
        <v>1009</v>
      </c>
    </row>
    <row r="103" spans="1:19">
      <c r="A103" s="149">
        <v>3</v>
      </c>
      <c r="B103" s="149" t="s">
        <v>23</v>
      </c>
      <c r="C103" s="149" t="s">
        <v>1047</v>
      </c>
      <c r="D103" s="149" t="s">
        <v>1048</v>
      </c>
      <c r="E103" s="149" t="s">
        <v>1049</v>
      </c>
      <c r="F103" s="150">
        <v>1.6</v>
      </c>
      <c r="G103" s="150">
        <v>15.3</v>
      </c>
      <c r="H103" s="150">
        <v>2.9</v>
      </c>
      <c r="I103" s="150">
        <v>2.9</v>
      </c>
      <c r="J103" s="151">
        <v>5200</v>
      </c>
      <c r="K103" s="149" t="str">
        <f t="shared" si="3"/>
        <v>A:1,60 x C:15,30 x L:2,90-2,90 x P:5.200kg</v>
      </c>
      <c r="N103" s="149" t="str">
        <f t="shared" si="2"/>
        <v>006208105</v>
      </c>
      <c r="O103" s="155">
        <v>6208105001199</v>
      </c>
      <c r="P103" s="149" t="s">
        <v>1033</v>
      </c>
      <c r="Q103" s="149" t="s">
        <v>1026</v>
      </c>
      <c r="R103" s="149" t="s">
        <v>838</v>
      </c>
      <c r="S103" s="2" t="s">
        <v>1009</v>
      </c>
    </row>
    <row r="104" spans="1:19">
      <c r="A104" s="149">
        <v>3</v>
      </c>
      <c r="B104" s="149" t="s">
        <v>23</v>
      </c>
      <c r="C104" s="149" t="s">
        <v>1047</v>
      </c>
      <c r="D104" s="149" t="s">
        <v>1050</v>
      </c>
      <c r="E104" s="149" t="s">
        <v>1050</v>
      </c>
      <c r="F104" s="150">
        <v>1.6</v>
      </c>
      <c r="G104" s="150">
        <v>9.14</v>
      </c>
      <c r="H104" s="150">
        <v>1.8</v>
      </c>
      <c r="I104" s="150">
        <v>1.8</v>
      </c>
      <c r="J104" s="151">
        <v>2900</v>
      </c>
      <c r="K104" s="149" t="str">
        <f t="shared" si="3"/>
        <v>A:1,60 x C:9,14 x L:1,80-1,80 x P:2.900kg</v>
      </c>
      <c r="N104" s="149" t="str">
        <f t="shared" si="2"/>
        <v>006208105</v>
      </c>
      <c r="O104" s="155">
        <v>6208105000621</v>
      </c>
      <c r="P104" s="149" t="s">
        <v>1051</v>
      </c>
      <c r="Q104" s="149" t="s">
        <v>1026</v>
      </c>
      <c r="R104" s="149" t="s">
        <v>1052</v>
      </c>
      <c r="S104" s="2" t="s">
        <v>1009</v>
      </c>
    </row>
    <row r="105" spans="1:19">
      <c r="A105" s="149">
        <v>3</v>
      </c>
      <c r="B105" s="149" t="s">
        <v>23</v>
      </c>
      <c r="C105" s="149" t="s">
        <v>1053</v>
      </c>
      <c r="D105" s="149" t="s">
        <v>1054</v>
      </c>
      <c r="E105" s="149" t="s">
        <v>1054</v>
      </c>
      <c r="F105" s="150">
        <v>1.6</v>
      </c>
      <c r="G105" s="150">
        <v>9.14</v>
      </c>
      <c r="H105" s="150">
        <v>2.2000000000000002</v>
      </c>
      <c r="I105" s="150">
        <v>2.2000000000000002</v>
      </c>
      <c r="J105" s="151">
        <v>4200</v>
      </c>
      <c r="K105" s="149" t="str">
        <f t="shared" si="3"/>
        <v>A:1,60 x C:9,14 x L:2,20-2,20 x P:4.200kg</v>
      </c>
      <c r="N105" s="149" t="str">
        <f t="shared" si="2"/>
        <v>006208105</v>
      </c>
      <c r="O105" s="155">
        <v>6208105000460</v>
      </c>
      <c r="P105" s="149" t="s">
        <v>1037</v>
      </c>
      <c r="Q105" s="149" t="s">
        <v>1026</v>
      </c>
      <c r="R105" s="149" t="s">
        <v>1055</v>
      </c>
      <c r="S105" s="2" t="s">
        <v>1009</v>
      </c>
    </row>
    <row r="106" spans="1:19">
      <c r="A106" s="149">
        <v>3</v>
      </c>
      <c r="B106" s="149" t="s">
        <v>23</v>
      </c>
      <c r="C106" s="149" t="s">
        <v>1053</v>
      </c>
      <c r="D106" s="149" t="s">
        <v>1056</v>
      </c>
      <c r="E106" s="149" t="s">
        <v>1056</v>
      </c>
      <c r="F106" s="150">
        <v>1.6</v>
      </c>
      <c r="G106" s="150">
        <v>10.67</v>
      </c>
      <c r="H106" s="150">
        <v>2.2000000000000002</v>
      </c>
      <c r="I106" s="150">
        <v>2.2000000000000002</v>
      </c>
      <c r="J106" s="151">
        <v>5000</v>
      </c>
      <c r="K106" s="149" t="str">
        <f t="shared" si="3"/>
        <v>A:1,60 x C:10,67 x L:2,20-2,20 x P:5.000kg</v>
      </c>
      <c r="N106" s="149" t="str">
        <f t="shared" si="2"/>
        <v>006208105</v>
      </c>
      <c r="O106" s="155">
        <v>6208105001512</v>
      </c>
      <c r="P106" s="149" t="s">
        <v>1057</v>
      </c>
      <c r="Q106" s="149" t="s">
        <v>1026</v>
      </c>
      <c r="R106" s="149" t="s">
        <v>1058</v>
      </c>
      <c r="S106" s="145" t="s">
        <v>1009</v>
      </c>
    </row>
    <row r="107" spans="1:19">
      <c r="A107" s="149">
        <v>4</v>
      </c>
      <c r="B107" s="149" t="s">
        <v>22</v>
      </c>
      <c r="C107" s="149" t="s">
        <v>1059</v>
      </c>
      <c r="D107" s="149" t="s">
        <v>1060</v>
      </c>
      <c r="E107" s="149" t="s">
        <v>1060</v>
      </c>
      <c r="F107" s="150">
        <v>2.4</v>
      </c>
      <c r="G107" s="150">
        <v>3</v>
      </c>
      <c r="H107" s="150">
        <v>3.6</v>
      </c>
      <c r="I107" s="150">
        <v>3.6</v>
      </c>
      <c r="J107" s="151">
        <v>3415</v>
      </c>
      <c r="K107" s="149" t="str">
        <f t="shared" si="3"/>
        <v>A:2,40 x C:3,00 x L:3,60-3,60 x P:3.415kg</v>
      </c>
      <c r="N107" s="149" t="str">
        <f t="shared" si="2"/>
        <v>000809068</v>
      </c>
      <c r="O107" s="155">
        <v>809068000116</v>
      </c>
      <c r="P107" s="149" t="s">
        <v>1061</v>
      </c>
      <c r="Q107" s="149" t="s">
        <v>1062</v>
      </c>
      <c r="R107" s="149" t="s">
        <v>1063</v>
      </c>
      <c r="S107" s="2" t="s">
        <v>1009</v>
      </c>
    </row>
    <row r="108" spans="1:19">
      <c r="A108" s="149">
        <v>4</v>
      </c>
      <c r="B108" s="149" t="s">
        <v>22</v>
      </c>
      <c r="C108" s="149" t="s">
        <v>1059</v>
      </c>
      <c r="D108" s="149" t="s">
        <v>1064</v>
      </c>
      <c r="E108" s="149" t="s">
        <v>1064</v>
      </c>
      <c r="F108" s="150">
        <v>2.4</v>
      </c>
      <c r="G108" s="150">
        <v>3</v>
      </c>
      <c r="H108" s="150">
        <v>4.3</v>
      </c>
      <c r="I108" s="150">
        <v>4.3</v>
      </c>
      <c r="J108" s="151">
        <v>4210</v>
      </c>
      <c r="K108" s="149" t="str">
        <f t="shared" si="3"/>
        <v>A:2,40 x C:3,00 x L:4,30-4,30 x P:4.210kg</v>
      </c>
      <c r="N108" s="149" t="str">
        <f t="shared" si="2"/>
        <v>018252586</v>
      </c>
      <c r="O108" s="155">
        <v>18252586000147</v>
      </c>
      <c r="P108" s="149" t="s">
        <v>1065</v>
      </c>
      <c r="Q108" s="149" t="s">
        <v>1066</v>
      </c>
      <c r="R108" s="149" t="s">
        <v>1067</v>
      </c>
      <c r="S108" s="2" t="s">
        <v>1009</v>
      </c>
    </row>
    <row r="109" spans="1:19">
      <c r="A109" s="149">
        <v>4</v>
      </c>
      <c r="B109" s="149" t="s">
        <v>22</v>
      </c>
      <c r="C109" s="149" t="s">
        <v>1059</v>
      </c>
      <c r="D109" s="149" t="s">
        <v>1068</v>
      </c>
      <c r="E109" s="149" t="s">
        <v>1068</v>
      </c>
      <c r="F109" s="150">
        <v>2.4</v>
      </c>
      <c r="G109" s="150">
        <v>3</v>
      </c>
      <c r="H109" s="150">
        <v>5.2</v>
      </c>
      <c r="I109" s="150">
        <v>5.2</v>
      </c>
      <c r="J109" s="151">
        <v>4940</v>
      </c>
      <c r="K109" s="149" t="str">
        <f t="shared" si="3"/>
        <v>A:2,40 x C:3,00 x L:5,20-5,20 x P:4.940kg</v>
      </c>
      <c r="N109" s="149" t="str">
        <f t="shared" si="2"/>
        <v>045137364</v>
      </c>
      <c r="O109" s="155">
        <v>45137364000156</v>
      </c>
      <c r="P109" s="149" t="s">
        <v>1069</v>
      </c>
      <c r="Q109" s="149" t="s">
        <v>1070</v>
      </c>
      <c r="R109" s="149" t="s">
        <v>644</v>
      </c>
      <c r="S109" s="2" t="s">
        <v>1009</v>
      </c>
    </row>
    <row r="110" spans="1:19">
      <c r="A110" s="149">
        <v>4</v>
      </c>
      <c r="B110" s="149" t="s">
        <v>22</v>
      </c>
      <c r="C110" s="149" t="s">
        <v>1059</v>
      </c>
      <c r="D110" s="149" t="s">
        <v>1071</v>
      </c>
      <c r="E110" s="149" t="s">
        <v>1071</v>
      </c>
      <c r="F110" s="150">
        <v>2.4</v>
      </c>
      <c r="G110" s="150">
        <v>3</v>
      </c>
      <c r="H110" s="150">
        <v>6.2</v>
      </c>
      <c r="I110" s="150">
        <v>6.2</v>
      </c>
      <c r="J110" s="151">
        <v>5625</v>
      </c>
      <c r="K110" s="149" t="str">
        <f t="shared" si="3"/>
        <v>A:2,40 x C:3,00 x L:6,20-6,20 x P:5.625kg</v>
      </c>
      <c r="N110" s="149" t="str">
        <f t="shared" si="2"/>
        <v>043197553</v>
      </c>
      <c r="O110" s="155">
        <v>43197553000199</v>
      </c>
      <c r="P110" s="149" t="s">
        <v>1072</v>
      </c>
      <c r="Q110" s="149" t="s">
        <v>1073</v>
      </c>
      <c r="R110" s="149" t="s">
        <v>1074</v>
      </c>
      <c r="S110" s="2" t="s">
        <v>1009</v>
      </c>
    </row>
    <row r="111" spans="1:19">
      <c r="A111" s="149">
        <v>4</v>
      </c>
      <c r="B111" s="149" t="s">
        <v>22</v>
      </c>
      <c r="C111" s="149" t="s">
        <v>1059</v>
      </c>
      <c r="D111" s="149" t="s">
        <v>1075</v>
      </c>
      <c r="E111" s="149" t="s">
        <v>1075</v>
      </c>
      <c r="F111" s="150">
        <v>2.4500000000000002</v>
      </c>
      <c r="G111" s="150">
        <v>4.0999999999999996</v>
      </c>
      <c r="H111" s="150">
        <v>3.2</v>
      </c>
      <c r="I111" s="150">
        <v>3.2</v>
      </c>
      <c r="J111" s="151">
        <v>3760</v>
      </c>
      <c r="K111" s="149" t="str">
        <f t="shared" si="3"/>
        <v>A:2,45 x C:4,10 x L:3,20-3,20 x P:3.760kg</v>
      </c>
      <c r="N111" s="149" t="str">
        <f t="shared" si="2"/>
        <v>040952314</v>
      </c>
      <c r="O111" s="155">
        <v>40952314000109</v>
      </c>
      <c r="P111" s="149" t="s">
        <v>1076</v>
      </c>
      <c r="Q111" s="149" t="s">
        <v>1077</v>
      </c>
      <c r="R111" s="149" t="s">
        <v>1078</v>
      </c>
      <c r="S111" s="145" t="s">
        <v>1009</v>
      </c>
    </row>
    <row r="112" spans="1:19">
      <c r="A112" s="149">
        <v>4</v>
      </c>
      <c r="B112" s="149" t="s">
        <v>22</v>
      </c>
      <c r="C112" s="149" t="s">
        <v>1059</v>
      </c>
      <c r="D112" s="149" t="s">
        <v>1079</v>
      </c>
      <c r="E112" s="149" t="s">
        <v>1079</v>
      </c>
      <c r="F112" s="150">
        <v>2.4500000000000002</v>
      </c>
      <c r="G112" s="150">
        <v>5</v>
      </c>
      <c r="H112" s="150">
        <v>3.2</v>
      </c>
      <c r="I112" s="150">
        <v>3.2</v>
      </c>
      <c r="J112" s="151">
        <v>4750</v>
      </c>
      <c r="K112" s="149" t="str">
        <f t="shared" si="3"/>
        <v>A:2,45 x C:5,00 x L:3,20-3,20 x P:4.750kg</v>
      </c>
      <c r="N112" s="149" t="str">
        <f t="shared" si="2"/>
        <v>016666005</v>
      </c>
      <c r="O112" s="155">
        <v>16666005000198</v>
      </c>
      <c r="P112" s="149" t="s">
        <v>1080</v>
      </c>
      <c r="Q112" s="149" t="s">
        <v>1081</v>
      </c>
      <c r="R112" s="149" t="s">
        <v>644</v>
      </c>
      <c r="S112" s="145" t="s">
        <v>1009</v>
      </c>
    </row>
    <row r="113" spans="1:19">
      <c r="A113" s="149">
        <v>4</v>
      </c>
      <c r="B113" s="149" t="s">
        <v>22</v>
      </c>
      <c r="C113" s="149" t="s">
        <v>1059</v>
      </c>
      <c r="D113" s="149" t="s">
        <v>1082</v>
      </c>
      <c r="E113" s="149" t="s">
        <v>1082</v>
      </c>
      <c r="F113" s="150">
        <v>2.4500000000000002</v>
      </c>
      <c r="G113" s="150">
        <v>6</v>
      </c>
      <c r="H113" s="150">
        <v>3.2</v>
      </c>
      <c r="I113" s="150">
        <v>3.2</v>
      </c>
      <c r="J113" s="151">
        <v>5190</v>
      </c>
      <c r="K113" s="149" t="str">
        <f t="shared" si="3"/>
        <v>A:2,45 x C:6,00 x L:3,20-3,20 x P:5.190kg</v>
      </c>
      <c r="N113" s="149" t="str">
        <f t="shared" si="2"/>
        <v>032083509</v>
      </c>
      <c r="O113" s="155">
        <v>32083509000131</v>
      </c>
      <c r="P113" s="149" t="s">
        <v>1083</v>
      </c>
      <c r="Q113" s="149" t="s">
        <v>1084</v>
      </c>
      <c r="R113" s="149" t="s">
        <v>595</v>
      </c>
      <c r="S113" s="145" t="s">
        <v>1009</v>
      </c>
    </row>
    <row r="114" spans="1:19">
      <c r="A114" s="149">
        <v>4</v>
      </c>
      <c r="B114" s="149" t="s">
        <v>22</v>
      </c>
      <c r="C114" s="149" t="s">
        <v>1059</v>
      </c>
      <c r="D114" s="149" t="s">
        <v>1085</v>
      </c>
      <c r="E114" s="149" t="s">
        <v>1085</v>
      </c>
      <c r="F114" s="150">
        <v>2.4500000000000002</v>
      </c>
      <c r="G114" s="150">
        <v>7</v>
      </c>
      <c r="H114" s="150">
        <v>3.2</v>
      </c>
      <c r="I114" s="150">
        <v>3.2</v>
      </c>
      <c r="J114" s="151">
        <v>6025</v>
      </c>
      <c r="K114" s="149" t="str">
        <f t="shared" si="3"/>
        <v>A:2,45 x C:7,00 x L:3,20-3,20 x P:6.025kg</v>
      </c>
      <c r="N114" s="149" t="str">
        <f t="shared" si="2"/>
        <v>029730518</v>
      </c>
      <c r="O114" s="155">
        <v>29730518000162</v>
      </c>
      <c r="P114" s="149" t="s">
        <v>1086</v>
      </c>
      <c r="Q114" s="149" t="s">
        <v>1087</v>
      </c>
      <c r="R114" s="149" t="s">
        <v>644</v>
      </c>
      <c r="S114" s="2" t="s">
        <v>1009</v>
      </c>
    </row>
    <row r="115" spans="1:19">
      <c r="A115" s="149">
        <v>4</v>
      </c>
      <c r="B115" s="149" t="s">
        <v>22</v>
      </c>
      <c r="C115" s="149" t="s">
        <v>1059</v>
      </c>
      <c r="D115" s="149" t="s">
        <v>1088</v>
      </c>
      <c r="E115" s="149" t="s">
        <v>1088</v>
      </c>
      <c r="F115" s="150">
        <v>2.5</v>
      </c>
      <c r="G115" s="150">
        <v>7.2</v>
      </c>
      <c r="H115" s="150">
        <v>4</v>
      </c>
      <c r="I115" s="150">
        <v>4</v>
      </c>
      <c r="J115" s="151">
        <v>6500</v>
      </c>
      <c r="K115" s="149" t="str">
        <f t="shared" si="3"/>
        <v>A:2,50 x C:7,20 x L:4,00-4,00 x P:6.500kg</v>
      </c>
      <c r="N115" s="149" t="str">
        <f t="shared" si="2"/>
        <v>028176140</v>
      </c>
      <c r="O115" s="155">
        <v>28176140000134</v>
      </c>
      <c r="P115" s="149" t="s">
        <v>1089</v>
      </c>
      <c r="Q115" s="149" t="s">
        <v>1090</v>
      </c>
      <c r="R115" s="149" t="s">
        <v>992</v>
      </c>
      <c r="S115" s="145" t="s">
        <v>1009</v>
      </c>
    </row>
    <row r="116" spans="1:19">
      <c r="A116" s="149">
        <v>4</v>
      </c>
      <c r="B116" s="149" t="s">
        <v>22</v>
      </c>
      <c r="C116" s="149" t="s">
        <v>1059</v>
      </c>
      <c r="D116" s="149" t="s">
        <v>1091</v>
      </c>
      <c r="E116" s="149" t="s">
        <v>1091</v>
      </c>
      <c r="F116" s="150">
        <v>2.5</v>
      </c>
      <c r="G116" s="150">
        <v>8</v>
      </c>
      <c r="H116" s="150">
        <v>4</v>
      </c>
      <c r="I116" s="150">
        <v>4</v>
      </c>
      <c r="J116" s="151">
        <v>7350</v>
      </c>
      <c r="K116" s="149" t="str">
        <f t="shared" si="3"/>
        <v>A:2,50 x C:8,00 x L:4,00-4,00 x P:7.350kg</v>
      </c>
      <c r="N116" s="149" t="str">
        <f t="shared" si="2"/>
        <v>046304055</v>
      </c>
      <c r="O116" s="155">
        <v>46304055000196</v>
      </c>
      <c r="P116" s="149" t="s">
        <v>1092</v>
      </c>
      <c r="Q116" s="149" t="s">
        <v>504</v>
      </c>
      <c r="R116" s="149" t="s">
        <v>636</v>
      </c>
      <c r="S116" s="2" t="s">
        <v>1009</v>
      </c>
    </row>
    <row r="117" spans="1:19">
      <c r="A117" s="149">
        <v>4</v>
      </c>
      <c r="B117" s="149" t="s">
        <v>22</v>
      </c>
      <c r="C117" s="149" t="s">
        <v>1059</v>
      </c>
      <c r="D117" s="149" t="s">
        <v>1093</v>
      </c>
      <c r="E117" s="149" t="s">
        <v>1093</v>
      </c>
      <c r="F117" s="150">
        <v>2.5</v>
      </c>
      <c r="G117" s="150">
        <v>8.9</v>
      </c>
      <c r="H117" s="150">
        <v>4</v>
      </c>
      <c r="I117" s="150">
        <v>4</v>
      </c>
      <c r="J117" s="151">
        <v>8000</v>
      </c>
      <c r="K117" s="149" t="str">
        <f t="shared" si="3"/>
        <v>A:2,50 x C:8,90 x L:4,00-4,00 x P:8.000kg</v>
      </c>
      <c r="N117" s="149" t="str">
        <f t="shared" si="2"/>
        <v>041996351</v>
      </c>
      <c r="O117" s="155">
        <v>41996351000181</v>
      </c>
      <c r="P117" s="149" t="s">
        <v>1094</v>
      </c>
      <c r="Q117" s="149" t="s">
        <v>1095</v>
      </c>
      <c r="R117" s="149" t="s">
        <v>644</v>
      </c>
      <c r="S117" s="2" t="s">
        <v>1009</v>
      </c>
    </row>
    <row r="118" spans="1:19">
      <c r="A118" s="149">
        <v>4</v>
      </c>
      <c r="B118" s="149" t="s">
        <v>22</v>
      </c>
      <c r="C118" s="149" t="s">
        <v>1059</v>
      </c>
      <c r="D118" s="149" t="s">
        <v>1096</v>
      </c>
      <c r="E118" s="149" t="s">
        <v>1096</v>
      </c>
      <c r="F118" s="150">
        <v>2.5</v>
      </c>
      <c r="G118" s="150">
        <v>11.65</v>
      </c>
      <c r="H118" s="150">
        <v>4</v>
      </c>
      <c r="I118" s="150">
        <v>4</v>
      </c>
      <c r="J118" s="151">
        <v>13100</v>
      </c>
      <c r="K118" s="149" t="str">
        <f t="shared" si="3"/>
        <v>A:2,50 x C:11,65 x L:4,00-4,00 x P:13.100kg</v>
      </c>
      <c r="N118" s="149" t="str">
        <f t="shared" si="2"/>
        <v>061028125</v>
      </c>
      <c r="O118" s="155">
        <v>61028125000114</v>
      </c>
      <c r="P118" s="149" t="s">
        <v>1097</v>
      </c>
      <c r="Q118" s="149" t="s">
        <v>509</v>
      </c>
      <c r="R118" s="149" t="s">
        <v>611</v>
      </c>
      <c r="S118" s="2" t="s">
        <v>1009</v>
      </c>
    </row>
    <row r="119" spans="1:19">
      <c r="A119" s="149">
        <v>4</v>
      </c>
      <c r="B119" s="149" t="s">
        <v>22</v>
      </c>
      <c r="C119" s="149" t="s">
        <v>1059</v>
      </c>
      <c r="D119" s="149" t="s">
        <v>1098</v>
      </c>
      <c r="E119" s="149" t="s">
        <v>1098</v>
      </c>
      <c r="F119" s="150">
        <v>2.5</v>
      </c>
      <c r="G119" s="150">
        <v>13.45</v>
      </c>
      <c r="H119" s="150">
        <v>4</v>
      </c>
      <c r="I119" s="150">
        <v>4</v>
      </c>
      <c r="J119" s="151">
        <v>14100</v>
      </c>
      <c r="K119" s="149" t="str">
        <f t="shared" si="3"/>
        <v>A:2,50 x C:13,45 x L:4,00-4,00 x P:14.100kg</v>
      </c>
      <c r="N119" s="149" t="str">
        <f t="shared" si="2"/>
        <v>020060680</v>
      </c>
      <c r="O119" s="155">
        <v>20060680000146</v>
      </c>
      <c r="P119" s="149" t="s">
        <v>1099</v>
      </c>
      <c r="Q119" s="149" t="s">
        <v>1100</v>
      </c>
      <c r="R119" s="149" t="s">
        <v>651</v>
      </c>
      <c r="S119" s="2" t="s">
        <v>1009</v>
      </c>
    </row>
    <row r="120" spans="1:19">
      <c r="A120" s="149">
        <v>4</v>
      </c>
      <c r="B120" s="149" t="s">
        <v>22</v>
      </c>
      <c r="C120" s="149" t="s">
        <v>1059</v>
      </c>
      <c r="D120" s="149" t="s">
        <v>1101</v>
      </c>
      <c r="E120" s="149" t="s">
        <v>1101</v>
      </c>
      <c r="F120" s="150">
        <v>2.5</v>
      </c>
      <c r="G120" s="150">
        <v>14.35</v>
      </c>
      <c r="H120" s="150">
        <v>4</v>
      </c>
      <c r="I120" s="150">
        <v>4</v>
      </c>
      <c r="J120" s="151">
        <v>14950</v>
      </c>
      <c r="K120" s="149" t="str">
        <f t="shared" si="3"/>
        <v>A:2,50 x C:14,35 x L:4,00-4,00 x P:14.950kg</v>
      </c>
      <c r="N120" s="149" t="str">
        <f t="shared" si="2"/>
        <v>062111348</v>
      </c>
      <c r="O120" s="155">
        <v>62111348000103</v>
      </c>
      <c r="P120" s="149" t="s">
        <v>1102</v>
      </c>
      <c r="Q120" s="149" t="s">
        <v>1103</v>
      </c>
      <c r="R120" s="149" t="s">
        <v>651</v>
      </c>
      <c r="S120" s="2" t="s">
        <v>1009</v>
      </c>
    </row>
    <row r="121" spans="1:19">
      <c r="A121" s="149">
        <v>4</v>
      </c>
      <c r="B121" s="149" t="s">
        <v>22</v>
      </c>
      <c r="C121" s="149" t="s">
        <v>1059</v>
      </c>
      <c r="D121" s="149" t="s">
        <v>1104</v>
      </c>
      <c r="E121" s="149" t="s">
        <v>1104</v>
      </c>
      <c r="F121" s="150">
        <v>2.5</v>
      </c>
      <c r="G121" s="150">
        <v>15.55</v>
      </c>
      <c r="H121" s="150">
        <v>4</v>
      </c>
      <c r="I121" s="150">
        <v>4</v>
      </c>
      <c r="J121" s="151">
        <v>16800</v>
      </c>
      <c r="K121" s="149" t="str">
        <f t="shared" si="3"/>
        <v>A:2,50 x C:15,55 x L:4,00-4,00 x P:16.800kg</v>
      </c>
      <c r="N121" s="149" t="str">
        <f t="shared" si="2"/>
        <v>061259226</v>
      </c>
      <c r="O121" s="155">
        <v>61259226000104</v>
      </c>
      <c r="P121" s="149" t="s">
        <v>1105</v>
      </c>
      <c r="Q121" s="149" t="s">
        <v>389</v>
      </c>
      <c r="R121" s="149" t="s">
        <v>1106</v>
      </c>
      <c r="S121" s="2" t="s">
        <v>1009</v>
      </c>
    </row>
    <row r="122" spans="1:19">
      <c r="A122" s="149">
        <v>4</v>
      </c>
      <c r="B122" s="149" t="s">
        <v>22</v>
      </c>
      <c r="C122" s="149" t="s">
        <v>1059</v>
      </c>
      <c r="D122" s="149" t="s">
        <v>1107</v>
      </c>
      <c r="E122" s="149" t="s">
        <v>1107</v>
      </c>
      <c r="F122" s="150">
        <v>3.7</v>
      </c>
      <c r="G122" s="150">
        <v>12.5</v>
      </c>
      <c r="H122" s="150">
        <v>6.2</v>
      </c>
      <c r="I122" s="150">
        <v>6.2</v>
      </c>
      <c r="J122" s="151">
        <v>14144</v>
      </c>
      <c r="K122" s="149" t="str">
        <f t="shared" si="3"/>
        <v>A:3,70 x C:12,50 x L:6,20-6,20 x P:14.144kg</v>
      </c>
      <c r="N122" s="149" t="str">
        <f t="shared" si="2"/>
        <v>060472749</v>
      </c>
      <c r="O122" s="155">
        <v>60472749000163</v>
      </c>
      <c r="P122" s="149" t="s">
        <v>1108</v>
      </c>
      <c r="Q122" s="149" t="s">
        <v>1109</v>
      </c>
      <c r="R122" s="149" t="s">
        <v>611</v>
      </c>
      <c r="S122" s="2" t="s">
        <v>1009</v>
      </c>
    </row>
    <row r="123" spans="1:19">
      <c r="A123" s="149">
        <v>4</v>
      </c>
      <c r="B123" s="149" t="s">
        <v>22</v>
      </c>
      <c r="C123" s="149" t="s">
        <v>1059</v>
      </c>
      <c r="D123" s="149" t="s">
        <v>1110</v>
      </c>
      <c r="E123" s="149" t="s">
        <v>1110</v>
      </c>
      <c r="F123" s="150">
        <v>3.7</v>
      </c>
      <c r="G123" s="150">
        <v>12.5</v>
      </c>
      <c r="H123" s="150">
        <v>6.2</v>
      </c>
      <c r="I123" s="150">
        <v>6.2</v>
      </c>
      <c r="J123" s="151">
        <v>15980</v>
      </c>
      <c r="K123" s="149" t="str">
        <f t="shared" si="3"/>
        <v>A:3,70 x C:12,50 x L:6,20-6,20 x P:15.980kg</v>
      </c>
      <c r="N123" s="149" t="str">
        <f t="shared" si="2"/>
        <v>048269792</v>
      </c>
      <c r="O123" s="155">
        <v>48269792000120</v>
      </c>
      <c r="P123" s="149" t="s">
        <v>1111</v>
      </c>
      <c r="Q123" s="149" t="s">
        <v>1112</v>
      </c>
      <c r="R123" s="149" t="s">
        <v>1113</v>
      </c>
      <c r="S123" s="2" t="s">
        <v>1009</v>
      </c>
    </row>
    <row r="124" spans="1:19">
      <c r="A124" s="149">
        <v>4</v>
      </c>
      <c r="B124" s="149" t="s">
        <v>22</v>
      </c>
      <c r="C124" s="149" t="s">
        <v>1059</v>
      </c>
      <c r="D124" s="149" t="s">
        <v>1114</v>
      </c>
      <c r="E124" s="149" t="s">
        <v>1114</v>
      </c>
      <c r="F124" s="150">
        <v>3.7</v>
      </c>
      <c r="G124" s="150">
        <v>16.2</v>
      </c>
      <c r="H124" s="150">
        <v>6.2</v>
      </c>
      <c r="I124" s="150">
        <v>6.2</v>
      </c>
      <c r="J124" s="151">
        <v>21279</v>
      </c>
      <c r="K124" s="149" t="str">
        <f t="shared" si="3"/>
        <v>A:3,70 x C:16,20 x L:6,20-6,20 x P:21.279kg</v>
      </c>
      <c r="N124" s="149" t="str">
        <f t="shared" si="2"/>
        <v>006233947</v>
      </c>
      <c r="O124" s="155">
        <v>6233947000129</v>
      </c>
      <c r="P124" s="149" t="s">
        <v>1115</v>
      </c>
      <c r="Q124" s="149" t="s">
        <v>411</v>
      </c>
      <c r="R124" s="149" t="s">
        <v>1116</v>
      </c>
      <c r="S124" s="2" t="s">
        <v>1009</v>
      </c>
    </row>
    <row r="125" spans="1:19">
      <c r="A125" s="149">
        <v>4</v>
      </c>
      <c r="B125" s="149" t="s">
        <v>22</v>
      </c>
      <c r="C125" s="149" t="s">
        <v>1059</v>
      </c>
      <c r="D125" s="149" t="s">
        <v>1117</v>
      </c>
      <c r="E125" s="149" t="s">
        <v>1117</v>
      </c>
      <c r="F125" s="150">
        <v>3.7</v>
      </c>
      <c r="G125" s="150">
        <v>18.3</v>
      </c>
      <c r="H125" s="150">
        <v>6.2</v>
      </c>
      <c r="I125" s="150">
        <v>6.2</v>
      </c>
      <c r="J125" s="151">
        <v>29500</v>
      </c>
      <c r="K125" s="149" t="str">
        <f t="shared" si="3"/>
        <v>A:3,70 x C:18,30 x L:6,20-6,20 x P:29.500kg</v>
      </c>
      <c r="N125" s="149" t="str">
        <f t="shared" si="2"/>
        <v>044139289</v>
      </c>
      <c r="O125" s="155">
        <v>44139289000108</v>
      </c>
      <c r="P125" s="149" t="s">
        <v>1118</v>
      </c>
      <c r="Q125" s="149" t="s">
        <v>1119</v>
      </c>
      <c r="R125" s="149" t="s">
        <v>1120</v>
      </c>
      <c r="S125" s="2" t="s">
        <v>1009</v>
      </c>
    </row>
    <row r="126" spans="1:19">
      <c r="A126" s="149">
        <v>5</v>
      </c>
      <c r="B126" s="149" t="s">
        <v>24</v>
      </c>
      <c r="C126" s="149" t="s">
        <v>1121</v>
      </c>
      <c r="D126" s="149" t="s">
        <v>1122</v>
      </c>
      <c r="E126" s="149" t="s">
        <v>1123</v>
      </c>
      <c r="F126" s="150">
        <v>3.34</v>
      </c>
      <c r="G126" s="150">
        <v>7</v>
      </c>
      <c r="H126" s="150">
        <v>2.72</v>
      </c>
      <c r="I126" s="150">
        <v>3.3</v>
      </c>
      <c r="J126" s="151">
        <v>9703</v>
      </c>
      <c r="K126" s="149" t="str">
        <f t="shared" si="3"/>
        <v>A:3,34 x C:7,00 x L:2,72-3,30 x P:9.703kg</v>
      </c>
      <c r="N126" s="149" t="str">
        <f t="shared" si="2"/>
        <v>060968275</v>
      </c>
      <c r="O126" s="155">
        <v>60968275000145</v>
      </c>
      <c r="P126" s="149" t="s">
        <v>1124</v>
      </c>
      <c r="Q126" s="149" t="s">
        <v>1125</v>
      </c>
      <c r="R126" s="149" t="s">
        <v>811</v>
      </c>
      <c r="S126" s="2" t="s">
        <v>1009</v>
      </c>
    </row>
    <row r="127" spans="1:19">
      <c r="A127" s="149">
        <v>5</v>
      </c>
      <c r="B127" s="149" t="s">
        <v>24</v>
      </c>
      <c r="C127" s="149" t="s">
        <v>1121</v>
      </c>
      <c r="D127" s="149" t="s">
        <v>1126</v>
      </c>
      <c r="E127" s="149" t="s">
        <v>1127</v>
      </c>
      <c r="F127" s="150">
        <v>3.35</v>
      </c>
      <c r="G127" s="150">
        <v>7.5</v>
      </c>
      <c r="H127" s="150">
        <v>3.12</v>
      </c>
      <c r="I127" s="150">
        <v>3.94</v>
      </c>
      <c r="J127" s="151">
        <v>10000</v>
      </c>
      <c r="K127" s="149" t="str">
        <f t="shared" si="3"/>
        <v>A:3,35 x C:7,50 x L:3,12-3,94 x P:10.000kg</v>
      </c>
      <c r="N127" s="149" t="str">
        <f t="shared" si="2"/>
        <v>018725298</v>
      </c>
      <c r="O127" s="155">
        <v>18725298000162</v>
      </c>
      <c r="P127" s="149" t="s">
        <v>1128</v>
      </c>
      <c r="Q127" s="149" t="s">
        <v>402</v>
      </c>
      <c r="R127" s="149" t="s">
        <v>611</v>
      </c>
      <c r="S127" s="2" t="s">
        <v>1009</v>
      </c>
    </row>
    <row r="128" spans="1:19">
      <c r="A128" s="149">
        <v>5</v>
      </c>
      <c r="B128" s="149" t="s">
        <v>24</v>
      </c>
      <c r="C128" s="149" t="s">
        <v>1121</v>
      </c>
      <c r="D128" s="149" t="s">
        <v>1129</v>
      </c>
      <c r="E128" s="149" t="s">
        <v>1130</v>
      </c>
      <c r="F128" s="150">
        <v>3.35</v>
      </c>
      <c r="G128" s="150">
        <v>7.5</v>
      </c>
      <c r="H128" s="150">
        <v>3.12</v>
      </c>
      <c r="I128" s="150">
        <v>3.94</v>
      </c>
      <c r="J128" s="151">
        <v>10200</v>
      </c>
      <c r="K128" s="149" t="str">
        <f t="shared" si="3"/>
        <v>A:3,35 x C:7,50 x L:3,12-3,94 x P:10.200kg</v>
      </c>
      <c r="N128" s="149" t="str">
        <f t="shared" si="2"/>
        <v>010741822</v>
      </c>
      <c r="O128" s="155">
        <v>10741822000187</v>
      </c>
      <c r="P128" s="149" t="s">
        <v>1131</v>
      </c>
      <c r="Q128" s="149" t="s">
        <v>1132</v>
      </c>
      <c r="R128" s="149" t="s">
        <v>644</v>
      </c>
      <c r="S128" s="2" t="s">
        <v>1009</v>
      </c>
    </row>
    <row r="129" spans="1:19">
      <c r="A129" s="149">
        <v>5</v>
      </c>
      <c r="B129" s="149" t="s">
        <v>24</v>
      </c>
      <c r="C129" s="149" t="s">
        <v>1121</v>
      </c>
      <c r="D129" s="149" t="s">
        <v>1133</v>
      </c>
      <c r="E129" s="149" t="s">
        <v>1134</v>
      </c>
      <c r="F129" s="150">
        <v>3.36</v>
      </c>
      <c r="G129" s="150">
        <v>7.8</v>
      </c>
      <c r="H129" s="150">
        <v>2.29</v>
      </c>
      <c r="I129" s="150">
        <v>3.05</v>
      </c>
      <c r="J129" s="151">
        <v>8350</v>
      </c>
      <c r="K129" s="149" t="str">
        <f t="shared" si="3"/>
        <v>A:3,36 x C:7,80 x L:2,29-3,05 x P:8.350kg</v>
      </c>
      <c r="N129" s="149" t="str">
        <f t="shared" si="2"/>
        <v>019082116</v>
      </c>
      <c r="O129" s="155">
        <v>19082116000145</v>
      </c>
      <c r="P129" s="149" t="s">
        <v>1135</v>
      </c>
      <c r="Q129" s="149" t="s">
        <v>1136</v>
      </c>
      <c r="R129" s="149" t="s">
        <v>651</v>
      </c>
      <c r="S129" s="2" t="s">
        <v>1009</v>
      </c>
    </row>
    <row r="130" spans="1:19">
      <c r="A130" s="149">
        <v>5</v>
      </c>
      <c r="B130" s="149" t="s">
        <v>24</v>
      </c>
      <c r="C130" s="149" t="s">
        <v>1059</v>
      </c>
      <c r="D130" s="149" t="s">
        <v>1137</v>
      </c>
      <c r="E130" s="149" t="s">
        <v>1137</v>
      </c>
      <c r="F130" s="150">
        <v>3.35</v>
      </c>
      <c r="G130" s="150">
        <v>6.5</v>
      </c>
      <c r="H130" s="150">
        <v>2.8</v>
      </c>
      <c r="I130" s="150">
        <v>3.2</v>
      </c>
      <c r="J130" s="151">
        <v>8100</v>
      </c>
      <c r="K130" s="149" t="str">
        <f t="shared" si="3"/>
        <v>A:3,35 x C:6,50 x L:2,80-3,20 x P:8.100kg</v>
      </c>
      <c r="N130" s="149" t="str">
        <f t="shared" ref="N130:N193" si="4">"0"&amp;LEFT(TEXT(SUBSTITUTE(SUBSTITUTE(SUBSTITUTE(O130,".",""),"/",""),"-",""),"00000000000000"),8)</f>
        <v>021272666</v>
      </c>
      <c r="O130" s="155">
        <v>21272666000179</v>
      </c>
      <c r="P130" s="149" t="s">
        <v>1138</v>
      </c>
      <c r="Q130" s="149" t="s">
        <v>1139</v>
      </c>
      <c r="R130" s="149" t="s">
        <v>651</v>
      </c>
      <c r="S130" s="2" t="s">
        <v>1009</v>
      </c>
    </row>
    <row r="131" spans="1:19">
      <c r="A131" s="149">
        <v>5</v>
      </c>
      <c r="B131" s="149" t="s">
        <v>24</v>
      </c>
      <c r="C131" s="149" t="s">
        <v>1059</v>
      </c>
      <c r="D131" s="149" t="s">
        <v>1140</v>
      </c>
      <c r="E131" s="149" t="s">
        <v>1140</v>
      </c>
      <c r="F131" s="150">
        <v>2.35</v>
      </c>
      <c r="G131" s="150">
        <v>7</v>
      </c>
      <c r="H131" s="150">
        <v>3.2</v>
      </c>
      <c r="I131" s="150">
        <v>3.2</v>
      </c>
      <c r="J131" s="151">
        <v>8315</v>
      </c>
      <c r="K131" s="149" t="str">
        <f t="shared" ref="K131:K136" si="5">"A:"&amp;TEXT(F131,"0,00")&amp;" x C:"&amp;TEXT(G131,"0,00")&amp;" x L:"&amp;TEXT(H131,"0,00")&amp;"-"&amp;TEXT(I131,"0,00")&amp;" x P:"&amp;TEXT(J131,"0.00")&amp;"kg"</f>
        <v>A:2,35 x C:7,00 x L:3,20-3,20 x P:8.315kg</v>
      </c>
      <c r="N131" s="149" t="str">
        <f t="shared" si="4"/>
        <v>004770253</v>
      </c>
      <c r="O131" s="155">
        <v>4770253000103</v>
      </c>
      <c r="P131" s="149" t="s">
        <v>1141</v>
      </c>
      <c r="Q131" s="149" t="s">
        <v>1142</v>
      </c>
      <c r="R131" s="149" t="s">
        <v>1143</v>
      </c>
      <c r="S131" s="2" t="s">
        <v>1009</v>
      </c>
    </row>
    <row r="132" spans="1:19">
      <c r="A132" s="149">
        <v>6</v>
      </c>
      <c r="B132" s="149" t="s">
        <v>1144</v>
      </c>
      <c r="C132" s="149" t="s">
        <v>1145</v>
      </c>
      <c r="D132" s="149" t="s">
        <v>1146</v>
      </c>
      <c r="E132" s="149" t="s">
        <v>1146</v>
      </c>
      <c r="F132" s="150">
        <v>3.9</v>
      </c>
      <c r="G132" s="150">
        <v>6.5</v>
      </c>
      <c r="H132" s="150">
        <v>3.2</v>
      </c>
      <c r="I132" s="150">
        <v>3.5</v>
      </c>
      <c r="J132" s="151">
        <v>15000</v>
      </c>
      <c r="K132" s="149" t="str">
        <f t="shared" si="5"/>
        <v>A:3,90 x C:6,50 x L:3,20-3,50 x P:15.000kg</v>
      </c>
      <c r="N132" s="149" t="str">
        <f t="shared" si="4"/>
        <v>030877442</v>
      </c>
      <c r="O132" s="155">
        <v>30877442000181</v>
      </c>
      <c r="P132" s="149" t="s">
        <v>1147</v>
      </c>
      <c r="Q132" s="149" t="s">
        <v>506</v>
      </c>
      <c r="R132" s="149" t="s">
        <v>636</v>
      </c>
      <c r="S132" s="2" t="s">
        <v>1009</v>
      </c>
    </row>
    <row r="133" spans="1:19">
      <c r="A133" s="149">
        <v>6</v>
      </c>
      <c r="B133" s="149" t="s">
        <v>1144</v>
      </c>
      <c r="C133" s="149" t="s">
        <v>1145</v>
      </c>
      <c r="D133" s="149" t="s">
        <v>1148</v>
      </c>
      <c r="E133" s="149" t="s">
        <v>1148</v>
      </c>
      <c r="F133" s="150">
        <v>3.9</v>
      </c>
      <c r="G133" s="150">
        <v>6.5</v>
      </c>
      <c r="H133" s="150">
        <v>3.2</v>
      </c>
      <c r="I133" s="150">
        <v>3.5</v>
      </c>
      <c r="J133" s="151">
        <v>15500</v>
      </c>
      <c r="K133" s="149" t="str">
        <f t="shared" si="5"/>
        <v>A:3,90 x C:6,50 x L:3,20-3,50 x P:15.500kg</v>
      </c>
      <c r="N133" s="149" t="str">
        <f t="shared" si="4"/>
        <v>051169694</v>
      </c>
      <c r="O133" s="155">
        <v>51169694000126</v>
      </c>
      <c r="P133" s="149" t="s">
        <v>1149</v>
      </c>
      <c r="Q133" s="149" t="s">
        <v>1150</v>
      </c>
      <c r="R133" s="149" t="s">
        <v>1151</v>
      </c>
      <c r="S133" s="2" t="s">
        <v>1009</v>
      </c>
    </row>
    <row r="134" spans="1:19">
      <c r="A134" s="149">
        <v>6</v>
      </c>
      <c r="B134" s="149" t="s">
        <v>1144</v>
      </c>
      <c r="C134" s="149" t="s">
        <v>1145</v>
      </c>
      <c r="D134" s="149" t="s">
        <v>1152</v>
      </c>
      <c r="E134" s="149" t="s">
        <v>1152</v>
      </c>
      <c r="F134" s="150">
        <v>3.9</v>
      </c>
      <c r="G134" s="150">
        <v>6.6</v>
      </c>
      <c r="H134" s="150">
        <v>3.2</v>
      </c>
      <c r="I134" s="150">
        <v>3.7</v>
      </c>
      <c r="J134" s="151">
        <v>16000</v>
      </c>
      <c r="K134" s="149" t="str">
        <f t="shared" si="5"/>
        <v>A:3,90 x C:6,60 x L:3,20-3,70 x P:16.000kg</v>
      </c>
      <c r="N134" s="149" t="str">
        <f t="shared" si="4"/>
        <v>037439159</v>
      </c>
      <c r="O134" s="155">
        <v>37439159000117</v>
      </c>
      <c r="P134" s="149" t="s">
        <v>1153</v>
      </c>
      <c r="Q134" s="149" t="s">
        <v>1154</v>
      </c>
      <c r="R134" s="149" t="s">
        <v>651</v>
      </c>
      <c r="S134" s="2" t="s">
        <v>1009</v>
      </c>
    </row>
    <row r="135" spans="1:19">
      <c r="A135" s="149">
        <v>7</v>
      </c>
      <c r="B135" s="149" t="s">
        <v>1155</v>
      </c>
      <c r="C135" s="149" t="s">
        <v>1156</v>
      </c>
      <c r="D135" s="149" t="s">
        <v>1157</v>
      </c>
      <c r="E135" s="149" t="s">
        <v>1157</v>
      </c>
      <c r="F135" s="150">
        <v>1</v>
      </c>
      <c r="G135" s="150">
        <v>9.6999999999999993</v>
      </c>
      <c r="H135" s="150">
        <v>2.5</v>
      </c>
      <c r="I135" s="150">
        <v>2.5</v>
      </c>
      <c r="J135" s="151">
        <v>500</v>
      </c>
      <c r="K135" s="149" t="str">
        <f t="shared" si="5"/>
        <v>A:1,00 x C:9,70 x L:2,50-2,50 x P:500kg</v>
      </c>
      <c r="N135" s="149" t="str">
        <f t="shared" si="4"/>
        <v>058643549</v>
      </c>
      <c r="O135" s="155">
        <v>58643549000184</v>
      </c>
      <c r="P135" s="149" t="s">
        <v>1158</v>
      </c>
      <c r="Q135" s="149" t="s">
        <v>1159</v>
      </c>
      <c r="R135" s="149" t="s">
        <v>644</v>
      </c>
      <c r="S135" s="2" t="s">
        <v>1009</v>
      </c>
    </row>
    <row r="136" spans="1:19">
      <c r="A136" s="149">
        <v>3</v>
      </c>
      <c r="B136" s="149" t="s">
        <v>23</v>
      </c>
      <c r="C136" s="149" t="s">
        <v>1047</v>
      </c>
      <c r="D136" s="149" t="s">
        <v>1160</v>
      </c>
      <c r="E136" s="149" t="s">
        <v>1160</v>
      </c>
      <c r="F136" s="150">
        <v>1.6</v>
      </c>
      <c r="G136" s="150">
        <v>7.6</v>
      </c>
      <c r="H136" s="150">
        <v>1.8</v>
      </c>
      <c r="I136" s="150">
        <v>1.8</v>
      </c>
      <c r="J136" s="151">
        <v>2100</v>
      </c>
      <c r="K136" s="149" t="str">
        <f t="shared" si="5"/>
        <v>A:1,60 x C:7,60 x L:1,80-1,80 x P:2.100kg</v>
      </c>
      <c r="N136" s="149" t="str">
        <f t="shared" si="4"/>
        <v>010680844</v>
      </c>
      <c r="O136" s="155">
        <v>10680844000184</v>
      </c>
      <c r="P136" s="149" t="s">
        <v>1161</v>
      </c>
      <c r="Q136" s="149" t="s">
        <v>1162</v>
      </c>
      <c r="R136" s="149" t="s">
        <v>644</v>
      </c>
      <c r="S136" s="2" t="s">
        <v>1009</v>
      </c>
    </row>
    <row r="137" spans="1:19">
      <c r="N137" s="149" t="str">
        <f t="shared" si="4"/>
        <v>034355001</v>
      </c>
      <c r="O137" s="155">
        <v>34355001000170</v>
      </c>
      <c r="P137" s="149" t="s">
        <v>1163</v>
      </c>
      <c r="Q137" s="149" t="s">
        <v>1164</v>
      </c>
      <c r="R137" s="149" t="s">
        <v>636</v>
      </c>
      <c r="S137" s="2" t="s">
        <v>1009</v>
      </c>
    </row>
    <row r="138" spans="1:19">
      <c r="N138" s="149" t="str">
        <f t="shared" si="4"/>
        <v>032878844</v>
      </c>
      <c r="O138" s="155">
        <v>32878844000126</v>
      </c>
      <c r="P138" s="149" t="s">
        <v>1165</v>
      </c>
      <c r="Q138" s="149" t="s">
        <v>474</v>
      </c>
      <c r="R138" s="149" t="s">
        <v>636</v>
      </c>
      <c r="S138" s="2" t="s">
        <v>1009</v>
      </c>
    </row>
    <row r="139" spans="1:19">
      <c r="N139" s="149" t="str">
        <f t="shared" si="4"/>
        <v>024586169</v>
      </c>
      <c r="O139" s="155">
        <v>24586169000133</v>
      </c>
      <c r="P139" s="149" t="s">
        <v>1166</v>
      </c>
      <c r="Q139" s="149" t="s">
        <v>1167</v>
      </c>
      <c r="R139" s="149" t="s">
        <v>611</v>
      </c>
      <c r="S139" s="2" t="s">
        <v>1009</v>
      </c>
    </row>
    <row r="140" spans="1:19">
      <c r="N140" s="149" t="str">
        <f t="shared" si="4"/>
        <v>058145329</v>
      </c>
      <c r="O140" s="155">
        <v>58145329000120</v>
      </c>
      <c r="P140" s="149" t="s">
        <v>1168</v>
      </c>
      <c r="Q140" s="149" t="s">
        <v>1169</v>
      </c>
      <c r="R140" s="149" t="s">
        <v>611</v>
      </c>
      <c r="S140" s="2" t="s">
        <v>1009</v>
      </c>
    </row>
    <row r="141" spans="1:19">
      <c r="N141" s="149" t="str">
        <f t="shared" si="4"/>
        <v>079973913</v>
      </c>
      <c r="O141" s="155">
        <v>79973913000144</v>
      </c>
      <c r="P141" s="149" t="s">
        <v>1170</v>
      </c>
      <c r="Q141" s="149" t="s">
        <v>1171</v>
      </c>
      <c r="R141" s="149" t="s">
        <v>838</v>
      </c>
      <c r="S141" s="2" t="s">
        <v>1009</v>
      </c>
    </row>
    <row r="142" spans="1:19">
      <c r="N142" s="149" t="str">
        <f t="shared" si="4"/>
        <v>006914002</v>
      </c>
      <c r="O142" s="155">
        <v>6914002000172</v>
      </c>
      <c r="P142" s="149" t="s">
        <v>1172</v>
      </c>
      <c r="Q142" s="149" t="s">
        <v>399</v>
      </c>
      <c r="R142" s="149" t="s">
        <v>620</v>
      </c>
      <c r="S142" s="2" t="s">
        <v>1009</v>
      </c>
    </row>
    <row r="143" spans="1:19">
      <c r="N143" s="149" t="str">
        <f t="shared" si="4"/>
        <v>003350624</v>
      </c>
      <c r="O143" s="155">
        <v>3350624000127</v>
      </c>
      <c r="P143" s="149" t="s">
        <v>1173</v>
      </c>
      <c r="Q143" s="149" t="s">
        <v>1174</v>
      </c>
      <c r="R143" s="149" t="s">
        <v>1175</v>
      </c>
      <c r="S143" s="2" t="s">
        <v>1009</v>
      </c>
    </row>
    <row r="144" spans="1:19">
      <c r="N144" s="149" t="str">
        <f t="shared" si="4"/>
        <v>027482459</v>
      </c>
      <c r="O144" s="155">
        <v>27482459000125</v>
      </c>
      <c r="P144" s="149" t="s">
        <v>1176</v>
      </c>
      <c r="Q144" s="149" t="s">
        <v>1177</v>
      </c>
      <c r="R144" s="149" t="s">
        <v>1178</v>
      </c>
      <c r="S144" s="2" t="s">
        <v>1009</v>
      </c>
    </row>
    <row r="145" spans="14:19">
      <c r="N145" s="149" t="str">
        <f t="shared" si="4"/>
        <v>044753925</v>
      </c>
      <c r="O145" s="155">
        <v>44753925000189</v>
      </c>
      <c r="P145" s="149" t="s">
        <v>1179</v>
      </c>
      <c r="Q145" s="149" t="s">
        <v>1180</v>
      </c>
      <c r="R145" s="149" t="s">
        <v>587</v>
      </c>
      <c r="S145" s="2" t="s">
        <v>1009</v>
      </c>
    </row>
    <row r="146" spans="14:19">
      <c r="N146" s="149" t="str">
        <f t="shared" si="4"/>
        <v>045988691</v>
      </c>
      <c r="O146" s="155">
        <v>45988691000111</v>
      </c>
      <c r="P146" s="149" t="s">
        <v>1181</v>
      </c>
      <c r="Q146" s="149" t="s">
        <v>1182</v>
      </c>
      <c r="R146" s="149" t="s">
        <v>651</v>
      </c>
      <c r="S146" s="2" t="s">
        <v>1009</v>
      </c>
    </row>
    <row r="147" spans="14:19">
      <c r="N147" s="149" t="str">
        <f t="shared" si="4"/>
        <v>032603119</v>
      </c>
      <c r="O147" s="155">
        <v>32603119000145</v>
      </c>
      <c r="P147" s="149" t="s">
        <v>1183</v>
      </c>
      <c r="Q147" s="149" t="s">
        <v>515</v>
      </c>
      <c r="R147" s="149" t="s">
        <v>1184</v>
      </c>
      <c r="S147" s="2" t="s">
        <v>1009</v>
      </c>
    </row>
    <row r="148" spans="14:19">
      <c r="N148" s="149" t="str">
        <f t="shared" si="4"/>
        <v>019442669</v>
      </c>
      <c r="O148" s="155">
        <v>19442669000161</v>
      </c>
      <c r="P148" s="149" t="s">
        <v>1185</v>
      </c>
      <c r="Q148" s="149" t="s">
        <v>1186</v>
      </c>
      <c r="R148" s="149" t="s">
        <v>644</v>
      </c>
      <c r="S148" s="2" t="s">
        <v>1009</v>
      </c>
    </row>
    <row r="149" spans="14:19">
      <c r="N149" s="149" t="str">
        <f t="shared" si="4"/>
        <v>084895598</v>
      </c>
      <c r="O149" s="155">
        <v>84895598000114</v>
      </c>
      <c r="P149" s="149" t="s">
        <v>1187</v>
      </c>
      <c r="Q149" s="149" t="s">
        <v>1188</v>
      </c>
      <c r="R149" s="149" t="s">
        <v>611</v>
      </c>
      <c r="S149" s="2" t="s">
        <v>1009</v>
      </c>
    </row>
    <row r="150" spans="14:19">
      <c r="N150" s="149" t="str">
        <f t="shared" si="4"/>
        <v>000495608</v>
      </c>
      <c r="O150" s="155">
        <v>495608000134</v>
      </c>
      <c r="P150" s="149" t="s">
        <v>1189</v>
      </c>
      <c r="Q150" s="149" t="s">
        <v>429</v>
      </c>
      <c r="R150" s="149" t="s">
        <v>644</v>
      </c>
      <c r="S150" s="2" t="s">
        <v>1009</v>
      </c>
    </row>
    <row r="151" spans="14:19">
      <c r="N151" s="149" t="str">
        <f t="shared" si="4"/>
        <v>020920599</v>
      </c>
      <c r="O151" s="155">
        <v>20920599000199</v>
      </c>
      <c r="P151" s="149" t="s">
        <v>1190</v>
      </c>
      <c r="Q151" s="149" t="s">
        <v>1191</v>
      </c>
      <c r="R151" s="149" t="s">
        <v>644</v>
      </c>
      <c r="S151" s="2" t="s">
        <v>1192</v>
      </c>
    </row>
    <row r="152" spans="14:19">
      <c r="N152" s="149" t="str">
        <f t="shared" si="4"/>
        <v>055246903</v>
      </c>
      <c r="O152" s="155">
        <v>55246903000149</v>
      </c>
      <c r="P152" s="149" t="s">
        <v>1193</v>
      </c>
      <c r="Q152" s="149" t="s">
        <v>1194</v>
      </c>
      <c r="R152" s="149" t="s">
        <v>1195</v>
      </c>
      <c r="S152" s="2" t="s">
        <v>1196</v>
      </c>
    </row>
    <row r="153" spans="14:19">
      <c r="N153" s="149" t="str">
        <f t="shared" si="4"/>
        <v>080645922</v>
      </c>
      <c r="O153" s="155">
        <v>80645922000276</v>
      </c>
      <c r="P153" s="149" t="s">
        <v>1197</v>
      </c>
      <c r="Q153" s="149" t="s">
        <v>1198</v>
      </c>
      <c r="R153" s="149" t="s">
        <v>811</v>
      </c>
      <c r="S153" s="2" t="s">
        <v>1196</v>
      </c>
    </row>
    <row r="154" spans="14:19">
      <c r="N154" s="149" t="str">
        <f t="shared" si="4"/>
        <v>056953013</v>
      </c>
      <c r="O154" s="155">
        <v>56953013000130</v>
      </c>
      <c r="P154" s="149" t="s">
        <v>1199</v>
      </c>
      <c r="Q154" s="149" t="s">
        <v>52</v>
      </c>
      <c r="R154" s="149" t="s">
        <v>838</v>
      </c>
      <c r="S154" s="2" t="s">
        <v>1196</v>
      </c>
    </row>
    <row r="155" spans="14:19">
      <c r="N155" s="149" t="str">
        <f t="shared" si="4"/>
        <v>056953013</v>
      </c>
      <c r="O155" s="155">
        <v>56953013000130</v>
      </c>
      <c r="P155" s="149" t="s">
        <v>1199</v>
      </c>
      <c r="Q155" s="149" t="s">
        <v>52</v>
      </c>
      <c r="R155" s="149" t="s">
        <v>838</v>
      </c>
      <c r="S155" s="2" t="s">
        <v>1196</v>
      </c>
    </row>
    <row r="156" spans="14:19">
      <c r="N156" s="149" t="str">
        <f t="shared" si="4"/>
        <v>027525938</v>
      </c>
      <c r="O156" s="155">
        <v>27525938000181</v>
      </c>
      <c r="P156" s="149" t="s">
        <v>1200</v>
      </c>
      <c r="Q156" s="149" t="s">
        <v>62</v>
      </c>
      <c r="R156" s="149" t="s">
        <v>644</v>
      </c>
      <c r="S156" s="2" t="s">
        <v>1196</v>
      </c>
    </row>
    <row r="157" spans="14:19">
      <c r="N157" s="149" t="str">
        <f t="shared" si="4"/>
        <v>059119304</v>
      </c>
      <c r="O157" s="155">
        <v>59119304000115</v>
      </c>
      <c r="P157" s="149" t="s">
        <v>1201</v>
      </c>
      <c r="Q157" s="149" t="s">
        <v>1202</v>
      </c>
      <c r="R157" s="149" t="s">
        <v>636</v>
      </c>
      <c r="S157" s="2" t="s">
        <v>1196</v>
      </c>
    </row>
    <row r="158" spans="14:19">
      <c r="N158" s="149" t="str">
        <f t="shared" si="4"/>
        <v>058219628</v>
      </c>
      <c r="O158" s="155" t="s">
        <v>1203</v>
      </c>
      <c r="P158" s="149" t="s">
        <v>1204</v>
      </c>
      <c r="Q158" s="149" t="s">
        <v>1202</v>
      </c>
      <c r="R158" s="149" t="s">
        <v>1205</v>
      </c>
      <c r="S158" s="2" t="s">
        <v>1196</v>
      </c>
    </row>
    <row r="159" spans="14:19">
      <c r="N159" s="149" t="str">
        <f t="shared" si="4"/>
        <v>028198228</v>
      </c>
      <c r="O159" s="155">
        <v>28198228000157</v>
      </c>
      <c r="P159" s="149" t="s">
        <v>1206</v>
      </c>
      <c r="Q159" s="149" t="s">
        <v>1207</v>
      </c>
      <c r="R159" s="149" t="s">
        <v>1208</v>
      </c>
      <c r="S159" s="145" t="s">
        <v>1196</v>
      </c>
    </row>
    <row r="160" spans="14:19">
      <c r="N160" s="149" t="str">
        <f t="shared" si="4"/>
        <v>008880208</v>
      </c>
      <c r="O160" s="155">
        <v>8880208000154</v>
      </c>
      <c r="P160" s="149" t="s">
        <v>1209</v>
      </c>
      <c r="Q160" s="149" t="s">
        <v>1207</v>
      </c>
      <c r="R160" s="149" t="s">
        <v>1208</v>
      </c>
      <c r="S160" s="145" t="s">
        <v>1196</v>
      </c>
    </row>
    <row r="161" spans="14:19">
      <c r="N161" s="149" t="str">
        <f t="shared" si="4"/>
        <v>053102168</v>
      </c>
      <c r="O161" s="155">
        <v>53102168000174</v>
      </c>
      <c r="P161" s="149" t="s">
        <v>1210</v>
      </c>
      <c r="Q161" s="149" t="s">
        <v>1211</v>
      </c>
      <c r="R161" s="149" t="s">
        <v>1212</v>
      </c>
      <c r="S161" s="2" t="s">
        <v>1196</v>
      </c>
    </row>
    <row r="162" spans="14:19">
      <c r="N162" s="149" t="str">
        <f t="shared" si="4"/>
        <v>035912495</v>
      </c>
      <c r="O162" s="155">
        <v>35912495000452</v>
      </c>
      <c r="P162" s="149" t="s">
        <v>1213</v>
      </c>
      <c r="Q162" s="149" t="s">
        <v>1214</v>
      </c>
      <c r="R162" s="149" t="s">
        <v>1208</v>
      </c>
      <c r="S162" s="2" t="s">
        <v>1196</v>
      </c>
    </row>
    <row r="163" spans="14:19">
      <c r="N163" s="149" t="str">
        <f t="shared" si="4"/>
        <v>044914992</v>
      </c>
      <c r="O163" s="155">
        <v>44914992002424</v>
      </c>
      <c r="P163" s="149" t="s">
        <v>1215</v>
      </c>
      <c r="Q163" s="149" t="s">
        <v>1214</v>
      </c>
      <c r="R163" s="149" t="s">
        <v>1216</v>
      </c>
      <c r="S163" s="2" t="s">
        <v>1196</v>
      </c>
    </row>
    <row r="164" spans="14:19">
      <c r="N164" s="149" t="str">
        <f t="shared" si="4"/>
        <v>044914992</v>
      </c>
      <c r="O164" s="155">
        <v>44914992003315</v>
      </c>
      <c r="P164" s="149" t="s">
        <v>1217</v>
      </c>
      <c r="Q164" s="149" t="s">
        <v>1214</v>
      </c>
      <c r="R164" s="149" t="s">
        <v>1218</v>
      </c>
      <c r="S164" s="2" t="s">
        <v>1196</v>
      </c>
    </row>
    <row r="165" spans="14:19">
      <c r="N165" s="149" t="str">
        <f t="shared" si="4"/>
        <v>044914992</v>
      </c>
      <c r="O165" s="155">
        <v>44914992003820</v>
      </c>
      <c r="P165" s="149" t="s">
        <v>1217</v>
      </c>
      <c r="Q165" s="149" t="s">
        <v>1214</v>
      </c>
      <c r="R165" s="149" t="s">
        <v>1208</v>
      </c>
      <c r="S165" s="2" t="s">
        <v>1196</v>
      </c>
    </row>
    <row r="166" spans="14:19">
      <c r="N166" s="149" t="str">
        <f t="shared" si="4"/>
        <v>044914992</v>
      </c>
      <c r="O166" s="155">
        <v>44914992001886</v>
      </c>
      <c r="P166" s="149" t="s">
        <v>1219</v>
      </c>
      <c r="Q166" s="149" t="s">
        <v>1214</v>
      </c>
      <c r="R166" s="149" t="s">
        <v>1220</v>
      </c>
      <c r="S166" s="2" t="s">
        <v>1196</v>
      </c>
    </row>
    <row r="167" spans="14:19">
      <c r="N167" s="149" t="str">
        <f t="shared" si="4"/>
        <v>044914992</v>
      </c>
      <c r="O167" s="155">
        <v>44914992003668</v>
      </c>
      <c r="P167" s="149" t="s">
        <v>1217</v>
      </c>
      <c r="Q167" s="149" t="s">
        <v>1214</v>
      </c>
      <c r="R167" s="149" t="s">
        <v>1221</v>
      </c>
      <c r="S167" s="2" t="s">
        <v>1196</v>
      </c>
    </row>
    <row r="168" spans="14:19">
      <c r="N168" s="149" t="str">
        <f t="shared" si="4"/>
        <v>044914992</v>
      </c>
      <c r="O168" s="155">
        <v>44914992001703</v>
      </c>
      <c r="P168" s="149" t="s">
        <v>1222</v>
      </c>
      <c r="Q168" s="149" t="s">
        <v>1214</v>
      </c>
      <c r="R168" s="149" t="s">
        <v>704</v>
      </c>
      <c r="S168" s="2" t="s">
        <v>1196</v>
      </c>
    </row>
    <row r="169" spans="14:19">
      <c r="N169" s="149" t="str">
        <f t="shared" si="4"/>
        <v>044914992</v>
      </c>
      <c r="O169" s="155">
        <v>44914992002181</v>
      </c>
      <c r="P169" s="149" t="s">
        <v>1223</v>
      </c>
      <c r="Q169" s="149" t="s">
        <v>1214</v>
      </c>
      <c r="R169" s="149" t="s">
        <v>1224</v>
      </c>
      <c r="S169" s="2" t="s">
        <v>1196</v>
      </c>
    </row>
    <row r="170" spans="14:19">
      <c r="N170" s="149" t="str">
        <f t="shared" si="4"/>
        <v>044914992</v>
      </c>
      <c r="O170" s="155">
        <v>44914992002777</v>
      </c>
      <c r="P170" s="149" t="s">
        <v>1222</v>
      </c>
      <c r="Q170" s="149" t="s">
        <v>1214</v>
      </c>
      <c r="R170" s="149" t="s">
        <v>1225</v>
      </c>
      <c r="S170" s="2" t="s">
        <v>1196</v>
      </c>
    </row>
    <row r="171" spans="14:19">
      <c r="N171" s="149" t="str">
        <f t="shared" si="4"/>
        <v>044914992</v>
      </c>
      <c r="O171" s="155">
        <v>44914992000138</v>
      </c>
      <c r="P171" s="149" t="s">
        <v>1226</v>
      </c>
      <c r="Q171" s="149" t="s">
        <v>1214</v>
      </c>
      <c r="R171" s="149" t="s">
        <v>1227</v>
      </c>
      <c r="S171" s="2" t="s">
        <v>1196</v>
      </c>
    </row>
    <row r="172" spans="14:19">
      <c r="N172" s="149" t="str">
        <f t="shared" si="4"/>
        <v>044914992</v>
      </c>
      <c r="O172" s="155">
        <v>44914992001371</v>
      </c>
      <c r="P172" s="149" t="s">
        <v>1228</v>
      </c>
      <c r="Q172" s="149" t="s">
        <v>1214</v>
      </c>
      <c r="R172" s="149" t="s">
        <v>1120</v>
      </c>
      <c r="S172" s="2" t="s">
        <v>1196</v>
      </c>
    </row>
    <row r="173" spans="14:19">
      <c r="N173" s="149" t="str">
        <f t="shared" si="4"/>
        <v>044914992</v>
      </c>
      <c r="O173" s="155">
        <v>44914992001290</v>
      </c>
      <c r="P173" s="149" t="s">
        <v>1229</v>
      </c>
      <c r="Q173" s="149" t="s">
        <v>1214</v>
      </c>
      <c r="R173" s="149" t="s">
        <v>1230</v>
      </c>
      <c r="S173" s="2" t="s">
        <v>1196</v>
      </c>
    </row>
    <row r="174" spans="14:19">
      <c r="N174" s="149" t="str">
        <f t="shared" si="4"/>
        <v>002343801</v>
      </c>
      <c r="O174" s="155">
        <v>2343801000185</v>
      </c>
      <c r="P174" s="149" t="s">
        <v>1231</v>
      </c>
      <c r="Q174" s="149" t="s">
        <v>1232</v>
      </c>
      <c r="R174" s="149" t="s">
        <v>1233</v>
      </c>
      <c r="S174" s="2" t="s">
        <v>1196</v>
      </c>
    </row>
    <row r="175" spans="14:19">
      <c r="N175" s="149" t="str">
        <f t="shared" si="4"/>
        <v>002343801</v>
      </c>
      <c r="O175" s="155">
        <v>2343801000690</v>
      </c>
      <c r="P175" s="149" t="s">
        <v>1231</v>
      </c>
      <c r="Q175" s="149" t="s">
        <v>1232</v>
      </c>
      <c r="R175" s="149" t="s">
        <v>644</v>
      </c>
      <c r="S175" s="2" t="s">
        <v>1196</v>
      </c>
    </row>
    <row r="176" spans="14:19">
      <c r="N176" s="149" t="str">
        <f t="shared" si="4"/>
        <v>078706751</v>
      </c>
      <c r="O176" s="155">
        <v>78706751000700</v>
      </c>
      <c r="P176" s="149" t="s">
        <v>1234</v>
      </c>
      <c r="Q176" s="149" t="s">
        <v>1235</v>
      </c>
      <c r="R176" s="149" t="s">
        <v>1236</v>
      </c>
      <c r="S176" s="2" t="s">
        <v>1196</v>
      </c>
    </row>
    <row r="177" spans="14:19">
      <c r="N177" s="149" t="str">
        <f t="shared" si="4"/>
        <v>078706751</v>
      </c>
      <c r="O177" s="155">
        <v>78706751001430</v>
      </c>
      <c r="P177" s="149" t="s">
        <v>1234</v>
      </c>
      <c r="Q177" s="149" t="s">
        <v>1235</v>
      </c>
      <c r="R177" s="149" t="s">
        <v>644</v>
      </c>
      <c r="S177" s="2" t="s">
        <v>1196</v>
      </c>
    </row>
    <row r="178" spans="14:19">
      <c r="N178" s="149" t="str">
        <f t="shared" si="4"/>
        <v>078706751</v>
      </c>
      <c r="O178" s="155">
        <v>78706751000891</v>
      </c>
      <c r="P178" s="149" t="s">
        <v>1237</v>
      </c>
      <c r="Q178" s="149" t="s">
        <v>1235</v>
      </c>
      <c r="R178" s="149" t="s">
        <v>1195</v>
      </c>
      <c r="S178" s="2" t="s">
        <v>1196</v>
      </c>
    </row>
    <row r="179" spans="14:19">
      <c r="N179" s="149" t="str">
        <f t="shared" si="4"/>
        <v>078706751</v>
      </c>
      <c r="O179" s="155">
        <v>78706751000115</v>
      </c>
      <c r="P179" s="149" t="s">
        <v>1238</v>
      </c>
      <c r="Q179" s="149" t="s">
        <v>1235</v>
      </c>
      <c r="R179" s="149" t="s">
        <v>1120</v>
      </c>
      <c r="S179" s="2" t="s">
        <v>1196</v>
      </c>
    </row>
    <row r="180" spans="14:19">
      <c r="N180" s="149" t="str">
        <f t="shared" si="4"/>
        <v>078706751</v>
      </c>
      <c r="O180" s="155">
        <v>78706751000549</v>
      </c>
      <c r="P180" s="149" t="s">
        <v>1238</v>
      </c>
      <c r="Q180" s="149" t="s">
        <v>1235</v>
      </c>
      <c r="R180" s="149" t="s">
        <v>1120</v>
      </c>
      <c r="S180" s="2" t="s">
        <v>1196</v>
      </c>
    </row>
    <row r="181" spans="14:19">
      <c r="N181" s="149" t="str">
        <f t="shared" si="4"/>
        <v>012154080</v>
      </c>
      <c r="O181" s="155">
        <v>12154080000119</v>
      </c>
      <c r="P181" s="149" t="s">
        <v>1239</v>
      </c>
      <c r="Q181" s="149" t="s">
        <v>75</v>
      </c>
      <c r="R181" s="149" t="s">
        <v>644</v>
      </c>
      <c r="S181" s="2" t="s">
        <v>1196</v>
      </c>
    </row>
    <row r="182" spans="14:19">
      <c r="N182" s="149" t="str">
        <f t="shared" si="4"/>
        <v>000428307</v>
      </c>
      <c r="O182" s="155">
        <v>428307001917</v>
      </c>
      <c r="P182" s="149" t="s">
        <v>1240</v>
      </c>
      <c r="Q182" s="149" t="s">
        <v>1241</v>
      </c>
      <c r="R182" s="149" t="s">
        <v>1242</v>
      </c>
      <c r="S182" s="2" t="s">
        <v>1196</v>
      </c>
    </row>
    <row r="183" spans="14:19">
      <c r="N183" s="149" t="str">
        <f t="shared" si="4"/>
        <v>000428307</v>
      </c>
      <c r="O183" s="155">
        <v>428307001240</v>
      </c>
      <c r="P183" s="149" t="s">
        <v>1243</v>
      </c>
      <c r="Q183" s="149" t="s">
        <v>1241</v>
      </c>
      <c r="R183" s="149" t="s">
        <v>1244</v>
      </c>
      <c r="S183" s="2" t="s">
        <v>1196</v>
      </c>
    </row>
    <row r="184" spans="14:19">
      <c r="N184" s="149" t="str">
        <f t="shared" si="4"/>
        <v>000428307</v>
      </c>
      <c r="O184" s="155">
        <v>428307001321</v>
      </c>
      <c r="P184" s="149" t="s">
        <v>1243</v>
      </c>
      <c r="Q184" s="149" t="s">
        <v>1241</v>
      </c>
      <c r="R184" s="149" t="s">
        <v>1244</v>
      </c>
      <c r="S184" s="2" t="s">
        <v>1196</v>
      </c>
    </row>
    <row r="185" spans="14:19">
      <c r="N185" s="149" t="str">
        <f t="shared" si="4"/>
        <v>000428307</v>
      </c>
      <c r="O185" s="155">
        <v>428307000279</v>
      </c>
      <c r="P185" s="149" t="s">
        <v>1243</v>
      </c>
      <c r="Q185" s="149" t="s">
        <v>1241</v>
      </c>
      <c r="R185" s="149" t="s">
        <v>1245</v>
      </c>
      <c r="S185" s="2" t="s">
        <v>1196</v>
      </c>
    </row>
    <row r="186" spans="14:19">
      <c r="N186" s="149" t="str">
        <f t="shared" si="4"/>
        <v>000428307</v>
      </c>
      <c r="O186" s="155">
        <v>428307000864</v>
      </c>
      <c r="P186" s="149" t="s">
        <v>1240</v>
      </c>
      <c r="Q186" s="149" t="s">
        <v>1241</v>
      </c>
      <c r="R186" s="149" t="s">
        <v>1216</v>
      </c>
      <c r="S186" s="145" t="s">
        <v>1196</v>
      </c>
    </row>
    <row r="187" spans="14:19">
      <c r="N187" s="149" t="str">
        <f t="shared" si="4"/>
        <v>000428307</v>
      </c>
      <c r="O187" s="155">
        <v>428307000600</v>
      </c>
      <c r="P187" s="149" t="s">
        <v>1240</v>
      </c>
      <c r="Q187" s="149" t="s">
        <v>1241</v>
      </c>
      <c r="R187" s="149" t="s">
        <v>1246</v>
      </c>
      <c r="S187" s="145" t="s">
        <v>1196</v>
      </c>
    </row>
    <row r="188" spans="14:19">
      <c r="N188" s="149" t="str">
        <f t="shared" si="4"/>
        <v>000428307</v>
      </c>
      <c r="O188" s="155">
        <v>428307000198</v>
      </c>
      <c r="P188" s="149" t="s">
        <v>1240</v>
      </c>
      <c r="Q188" s="149" t="s">
        <v>1241</v>
      </c>
      <c r="R188" s="149" t="s">
        <v>1247</v>
      </c>
      <c r="S188" s="145" t="s">
        <v>1196</v>
      </c>
    </row>
    <row r="189" spans="14:19">
      <c r="N189" s="149" t="str">
        <f t="shared" si="4"/>
        <v>000428307</v>
      </c>
      <c r="O189" s="155">
        <v>428307001674</v>
      </c>
      <c r="P189" s="149" t="s">
        <v>1240</v>
      </c>
      <c r="Q189" s="149" t="s">
        <v>1241</v>
      </c>
      <c r="R189" s="149" t="s">
        <v>1248</v>
      </c>
      <c r="S189" s="145" t="s">
        <v>1196</v>
      </c>
    </row>
    <row r="190" spans="14:19">
      <c r="N190" s="149" t="str">
        <f t="shared" si="4"/>
        <v>000428307</v>
      </c>
      <c r="O190" s="155">
        <v>428307000350</v>
      </c>
      <c r="P190" s="149" t="s">
        <v>1240</v>
      </c>
      <c r="Q190" s="149" t="s">
        <v>1241</v>
      </c>
      <c r="R190" s="149" t="s">
        <v>1225</v>
      </c>
      <c r="S190" s="145" t="s">
        <v>1196</v>
      </c>
    </row>
    <row r="191" spans="14:19">
      <c r="N191" s="149" t="str">
        <f t="shared" si="4"/>
        <v>000428307</v>
      </c>
      <c r="O191" s="155">
        <v>428307000430</v>
      </c>
      <c r="P191" s="149" t="s">
        <v>1240</v>
      </c>
      <c r="Q191" s="149" t="s">
        <v>1241</v>
      </c>
      <c r="R191" s="149" t="s">
        <v>1249</v>
      </c>
      <c r="S191" s="145" t="s">
        <v>1196</v>
      </c>
    </row>
    <row r="192" spans="14:19">
      <c r="N192" s="149" t="str">
        <f t="shared" si="4"/>
        <v>000428307</v>
      </c>
      <c r="O192" s="155">
        <v>428307000783</v>
      </c>
      <c r="P192" s="149" t="s">
        <v>1240</v>
      </c>
      <c r="Q192" s="149" t="s">
        <v>1241</v>
      </c>
      <c r="R192" s="149" t="s">
        <v>1250</v>
      </c>
      <c r="S192" s="2" t="s">
        <v>1196</v>
      </c>
    </row>
    <row r="193" spans="14:19">
      <c r="N193" s="149" t="str">
        <f t="shared" si="4"/>
        <v>000428307</v>
      </c>
      <c r="O193" s="155">
        <v>428307000511</v>
      </c>
      <c r="P193" s="149" t="s">
        <v>1240</v>
      </c>
      <c r="Q193" s="149" t="s">
        <v>1241</v>
      </c>
      <c r="R193" s="149" t="s">
        <v>1251</v>
      </c>
      <c r="S193" s="2" t="s">
        <v>1196</v>
      </c>
    </row>
    <row r="194" spans="14:19">
      <c r="N194" s="149" t="str">
        <f t="shared" ref="N194:N207" si="6">"0"&amp;LEFT(TEXT(SUBSTITUTE(SUBSTITUTE(SUBSTITUTE(O194,".",""),"/",""),"-",""),"00000000000000"),8)</f>
        <v>000428307</v>
      </c>
      <c r="O194" s="155">
        <v>428307001160</v>
      </c>
      <c r="P194" s="149" t="s">
        <v>1252</v>
      </c>
      <c r="Q194" s="149" t="s">
        <v>1241</v>
      </c>
      <c r="R194" s="149" t="s">
        <v>1253</v>
      </c>
      <c r="S194" s="2" t="s">
        <v>1196</v>
      </c>
    </row>
    <row r="195" spans="14:19">
      <c r="N195" s="149" t="str">
        <f t="shared" si="6"/>
        <v>000428307</v>
      </c>
      <c r="O195" s="155">
        <v>428307001089</v>
      </c>
      <c r="P195" s="149" t="s">
        <v>1254</v>
      </c>
      <c r="Q195" s="149" t="s">
        <v>1241</v>
      </c>
      <c r="R195" s="149" t="s">
        <v>1255</v>
      </c>
      <c r="S195" s="2" t="s">
        <v>1196</v>
      </c>
    </row>
    <row r="196" spans="14:19">
      <c r="N196" s="149" t="str">
        <f t="shared" si="6"/>
        <v>000428307</v>
      </c>
      <c r="O196" s="155">
        <v>428307002301</v>
      </c>
      <c r="P196" s="149" t="s">
        <v>1252</v>
      </c>
      <c r="Q196" s="149" t="s">
        <v>1241</v>
      </c>
      <c r="R196" s="149" t="s">
        <v>838</v>
      </c>
      <c r="S196" s="2" t="s">
        <v>1196</v>
      </c>
    </row>
    <row r="197" spans="14:19">
      <c r="N197" s="149" t="str">
        <f t="shared" si="6"/>
        <v>000428307</v>
      </c>
      <c r="O197" s="155">
        <v>428307002484</v>
      </c>
      <c r="P197" s="149" t="s">
        <v>1243</v>
      </c>
      <c r="Q197" s="149" t="s">
        <v>1241</v>
      </c>
      <c r="R197" s="149" t="s">
        <v>1247</v>
      </c>
      <c r="S197" s="2" t="s">
        <v>1196</v>
      </c>
    </row>
    <row r="198" spans="14:19">
      <c r="N198" s="149" t="str">
        <f t="shared" si="6"/>
        <v>080227796</v>
      </c>
      <c r="O198" s="155">
        <v>80227796006785</v>
      </c>
      <c r="P198" s="149" t="s">
        <v>1256</v>
      </c>
      <c r="Q198" s="149" t="s">
        <v>68</v>
      </c>
      <c r="R198" s="149" t="s">
        <v>1257</v>
      </c>
      <c r="S198" s="2" t="s">
        <v>1196</v>
      </c>
    </row>
    <row r="199" spans="14:19">
      <c r="N199" s="149" t="str">
        <f t="shared" si="6"/>
        <v>080227796</v>
      </c>
      <c r="O199" s="155">
        <v>80227796005894</v>
      </c>
      <c r="P199" s="149" t="s">
        <v>1258</v>
      </c>
      <c r="Q199" s="149" t="s">
        <v>68</v>
      </c>
      <c r="R199" s="149" t="s">
        <v>838</v>
      </c>
      <c r="S199" s="2" t="s">
        <v>1196</v>
      </c>
    </row>
    <row r="200" spans="14:19">
      <c r="N200" s="149" t="str">
        <f t="shared" si="6"/>
        <v>080227796</v>
      </c>
      <c r="O200" s="155">
        <v>80227796006270</v>
      </c>
      <c r="P200" s="149" t="s">
        <v>1259</v>
      </c>
      <c r="Q200" s="149" t="s">
        <v>68</v>
      </c>
      <c r="R200" s="149" t="s">
        <v>1260</v>
      </c>
      <c r="S200" s="2" t="s">
        <v>1196</v>
      </c>
    </row>
    <row r="201" spans="14:19">
      <c r="N201" s="149" t="str">
        <f t="shared" si="6"/>
        <v>080227796</v>
      </c>
      <c r="O201" s="155">
        <v>80227796000159</v>
      </c>
      <c r="P201" s="149" t="s">
        <v>1259</v>
      </c>
      <c r="Q201" s="149" t="s">
        <v>68</v>
      </c>
      <c r="R201" s="149" t="s">
        <v>644</v>
      </c>
      <c r="S201" s="2" t="s">
        <v>1196</v>
      </c>
    </row>
    <row r="202" spans="14:19">
      <c r="N202" s="149" t="str">
        <f t="shared" si="6"/>
        <v>080227796</v>
      </c>
      <c r="O202" s="155">
        <v>80227796005118</v>
      </c>
      <c r="P202" s="149" t="s">
        <v>1259</v>
      </c>
      <c r="Q202" s="149" t="s">
        <v>68</v>
      </c>
      <c r="R202" s="149" t="s">
        <v>1261</v>
      </c>
      <c r="S202" s="2" t="s">
        <v>1196</v>
      </c>
    </row>
    <row r="203" spans="14:19">
      <c r="N203" s="149" t="str">
        <f t="shared" si="6"/>
        <v>080227796</v>
      </c>
      <c r="O203" s="155">
        <v>80227796001473</v>
      </c>
      <c r="P203" s="149" t="s">
        <v>1259</v>
      </c>
      <c r="Q203" s="149" t="s">
        <v>68</v>
      </c>
      <c r="R203" s="149" t="s">
        <v>1120</v>
      </c>
      <c r="S203" s="2" t="s">
        <v>1196</v>
      </c>
    </row>
    <row r="204" spans="14:19">
      <c r="N204" s="149" t="str">
        <f t="shared" si="6"/>
        <v>059381286</v>
      </c>
      <c r="O204" s="155">
        <v>59381286000145</v>
      </c>
      <c r="P204" s="149" t="s">
        <v>1262</v>
      </c>
      <c r="Q204" s="149" t="s">
        <v>526</v>
      </c>
      <c r="R204" s="149" t="s">
        <v>1263</v>
      </c>
      <c r="S204" s="2" t="s">
        <v>1009</v>
      </c>
    </row>
    <row r="205" spans="14:19">
      <c r="N205" s="149" t="str">
        <f t="shared" si="6"/>
        <v>0</v>
      </c>
      <c r="O205" s="155"/>
      <c r="P205" s="149"/>
      <c r="Q205" s="149"/>
      <c r="R205" s="149"/>
    </row>
    <row r="206" spans="14:19">
      <c r="N206" s="149" t="str">
        <f t="shared" si="6"/>
        <v>0</v>
      </c>
      <c r="O206" s="155"/>
      <c r="P206" s="149"/>
      <c r="Q206" s="149"/>
      <c r="R206" s="149"/>
    </row>
    <row r="207" spans="14:19">
      <c r="N207" s="149" t="str">
        <f t="shared" si="6"/>
        <v>0</v>
      </c>
      <c r="O207" s="155"/>
      <c r="P207" s="149"/>
      <c r="Q207" s="149"/>
      <c r="R207" s="149"/>
    </row>
    <row r="208" spans="14:19">
      <c r="S208" s="143"/>
    </row>
    <row r="209" spans="19:19">
      <c r="S209" s="143"/>
    </row>
    <row r="210" spans="19:19">
      <c r="S210" s="143"/>
    </row>
  </sheetData>
  <autoFilter ref="N1:S207" xr:uid="{47BC257A-4798-4D53-BA44-0BF931D1E497}">
    <sortState xmlns:xlrd2="http://schemas.microsoft.com/office/spreadsheetml/2017/richdata2" ref="N2:S207">
      <sortCondition ref="S1:S207"/>
    </sortState>
  </autoFilter>
  <mergeCells count="3">
    <mergeCell ref="T1:T20"/>
    <mergeCell ref="L1:L20"/>
    <mergeCell ref="V26:X26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4710-2411-4209-A28C-97528ADCB3CB}">
  <sheetPr>
    <tabColor rgb="FF002060"/>
  </sheetPr>
  <dimension ref="A1:E114"/>
  <sheetViews>
    <sheetView showGridLines="0" workbookViewId="0">
      <selection activeCell="C2" sqref="C2"/>
    </sheetView>
  </sheetViews>
  <sheetFormatPr defaultRowHeight="14.45"/>
  <cols>
    <col min="1" max="1" width="24.28515625" bestFit="1" customWidth="1"/>
    <col min="2" max="2" width="22.7109375" bestFit="1" customWidth="1"/>
    <col min="3" max="3" width="42.140625" bestFit="1" customWidth="1"/>
    <col min="5" max="5" width="15.7109375" bestFit="1" customWidth="1"/>
  </cols>
  <sheetData>
    <row r="1" spans="1:5">
      <c r="A1" s="19" t="s">
        <v>1264</v>
      </c>
      <c r="B1" s="19" t="s">
        <v>1265</v>
      </c>
      <c r="C1" s="19" t="s">
        <v>1266</v>
      </c>
    </row>
    <row r="2" spans="1:5">
      <c r="A2" s="31" t="s">
        <v>1267</v>
      </c>
      <c r="B2" s="31" t="s">
        <v>1268</v>
      </c>
      <c r="C2" s="31" t="s">
        <v>1269</v>
      </c>
    </row>
    <row r="3" spans="1:5" ht="18">
      <c r="A3" s="31" t="s">
        <v>1270</v>
      </c>
      <c r="B3" s="32" t="s">
        <v>1271</v>
      </c>
      <c r="C3" s="32" t="s">
        <v>1272</v>
      </c>
      <c r="E3" s="63" t="s">
        <v>1273</v>
      </c>
    </row>
    <row r="4" spans="1:5">
      <c r="A4" s="31" t="s">
        <v>1274</v>
      </c>
      <c r="B4" s="32">
        <v>2010</v>
      </c>
      <c r="C4" s="32">
        <v>2022</v>
      </c>
    </row>
    <row r="5" spans="1:5">
      <c r="A5" s="31" t="s">
        <v>1275</v>
      </c>
      <c r="B5" s="32" t="s">
        <v>1276</v>
      </c>
      <c r="C5" s="32" t="s">
        <v>1276</v>
      </c>
    </row>
    <row r="6" spans="1:5">
      <c r="A6" s="31" t="s">
        <v>1277</v>
      </c>
      <c r="B6" s="32" t="s">
        <v>1278</v>
      </c>
      <c r="C6" s="32" t="s">
        <v>1278</v>
      </c>
    </row>
    <row r="7" spans="1:5">
      <c r="A7" s="31" t="s">
        <v>712</v>
      </c>
      <c r="B7" s="32" t="s">
        <v>1279</v>
      </c>
      <c r="C7" s="33" t="s">
        <v>1280</v>
      </c>
    </row>
    <row r="8" spans="1:5">
      <c r="A8" s="31" t="s">
        <v>1281</v>
      </c>
      <c r="B8" s="32">
        <v>320</v>
      </c>
      <c r="C8" s="32">
        <v>410</v>
      </c>
    </row>
    <row r="9" spans="1:5">
      <c r="A9" s="31" t="s">
        <v>1282</v>
      </c>
      <c r="B9" s="32">
        <v>45</v>
      </c>
      <c r="C9" s="32">
        <v>45</v>
      </c>
    </row>
    <row r="10" spans="1:5">
      <c r="A10" s="31" t="s">
        <v>1283</v>
      </c>
      <c r="B10" s="32">
        <v>23</v>
      </c>
      <c r="C10" s="32">
        <v>29</v>
      </c>
    </row>
    <row r="11" spans="1:5">
      <c r="A11" s="31" t="s">
        <v>1284</v>
      </c>
      <c r="B11" s="32">
        <v>128</v>
      </c>
      <c r="C11" s="32">
        <v>140</v>
      </c>
    </row>
    <row r="12" spans="1:5">
      <c r="A12" s="31" t="s">
        <v>1285</v>
      </c>
      <c r="B12" s="32">
        <v>495</v>
      </c>
      <c r="C12" s="32">
        <v>495</v>
      </c>
    </row>
    <row r="13" spans="1:5">
      <c r="A13" s="31" t="s">
        <v>1286</v>
      </c>
      <c r="B13" s="32">
        <v>32</v>
      </c>
      <c r="C13" s="32">
        <v>32</v>
      </c>
    </row>
    <row r="14" spans="1:5">
      <c r="A14" s="31" t="s">
        <v>1287</v>
      </c>
      <c r="B14" s="32">
        <v>60</v>
      </c>
      <c r="C14" s="32">
        <v>60</v>
      </c>
    </row>
    <row r="15" spans="1:5">
      <c r="A15" s="31" t="s">
        <v>1288</v>
      </c>
      <c r="B15" s="32" t="s">
        <v>1289</v>
      </c>
      <c r="C15" s="32" t="s">
        <v>1290</v>
      </c>
    </row>
    <row r="16" spans="1:5">
      <c r="A16" s="31" t="s">
        <v>1291</v>
      </c>
      <c r="B16" s="34">
        <v>252400</v>
      </c>
      <c r="C16" s="34">
        <v>895000</v>
      </c>
    </row>
    <row r="17" spans="1:3">
      <c r="A17" s="31" t="s">
        <v>1292</v>
      </c>
      <c r="B17" s="34">
        <v>67300</v>
      </c>
      <c r="C17" s="34">
        <v>120000</v>
      </c>
    </row>
    <row r="18" spans="1:3">
      <c r="A18" s="31" t="s">
        <v>32</v>
      </c>
      <c r="B18" s="35">
        <v>319700</v>
      </c>
      <c r="C18" s="35">
        <v>1015000</v>
      </c>
    </row>
    <row r="19" spans="1:3">
      <c r="A19" s="36"/>
      <c r="B19" s="20"/>
      <c r="C19" s="20"/>
    </row>
    <row r="20" spans="1:3">
      <c r="A20" s="31"/>
      <c r="B20" s="32" t="s">
        <v>1268</v>
      </c>
      <c r="C20" s="37" t="s">
        <v>1269</v>
      </c>
    </row>
    <row r="21" spans="1:3">
      <c r="A21" s="21"/>
      <c r="B21" s="38" t="s">
        <v>1293</v>
      </c>
      <c r="C21" s="38" t="s">
        <v>1294</v>
      </c>
    </row>
    <row r="22" spans="1:3">
      <c r="A22" s="21"/>
      <c r="B22" s="39" t="s">
        <v>1295</v>
      </c>
      <c r="C22" s="38" t="s">
        <v>1295</v>
      </c>
    </row>
    <row r="23" spans="1:3">
      <c r="A23" s="21"/>
      <c r="B23" s="3"/>
      <c r="C23" s="39"/>
    </row>
    <row r="24" spans="1:3">
      <c r="A24" s="21"/>
      <c r="B24" s="32"/>
      <c r="C24" s="34" t="s">
        <v>1296</v>
      </c>
    </row>
    <row r="25" spans="1:3">
      <c r="A25" s="21"/>
      <c r="B25" s="32"/>
      <c r="C25" s="34" t="s">
        <v>1297</v>
      </c>
    </row>
    <row r="26" spans="1:3">
      <c r="A26" s="21"/>
      <c r="B26" s="32"/>
      <c r="C26" s="32" t="s">
        <v>1295</v>
      </c>
    </row>
    <row r="27" spans="1:3">
      <c r="A27" s="21"/>
      <c r="B27" s="32"/>
      <c r="C27" s="32"/>
    </row>
    <row r="28" spans="1:3">
      <c r="A28" s="179" t="s">
        <v>1298</v>
      </c>
      <c r="B28" s="180"/>
      <c r="C28" s="181"/>
    </row>
    <row r="29" spans="1:3">
      <c r="A29" s="179" t="s">
        <v>1299</v>
      </c>
      <c r="B29" s="180"/>
      <c r="C29" s="181"/>
    </row>
    <row r="30" spans="1:3">
      <c r="A30" s="179" t="s">
        <v>1300</v>
      </c>
      <c r="B30" s="180"/>
      <c r="C30" s="181"/>
    </row>
    <row r="31" spans="1:3">
      <c r="A31" s="179" t="s">
        <v>1301</v>
      </c>
      <c r="B31" s="180"/>
      <c r="C31" s="181"/>
    </row>
    <row r="32" spans="1:3">
      <c r="A32" s="179" t="s">
        <v>1302</v>
      </c>
      <c r="B32" s="180"/>
      <c r="C32" s="181"/>
    </row>
    <row r="33" spans="1:3">
      <c r="A33" s="22"/>
      <c r="B33" s="23"/>
      <c r="C33" s="24"/>
    </row>
    <row r="34" spans="1:3">
      <c r="A34" s="40" t="s">
        <v>1303</v>
      </c>
      <c r="B34" s="40" t="s">
        <v>1304</v>
      </c>
      <c r="C34" s="40" t="s">
        <v>1305</v>
      </c>
    </row>
    <row r="35" spans="1:3">
      <c r="A35" s="41" t="s">
        <v>1306</v>
      </c>
      <c r="B35" s="41">
        <v>11307</v>
      </c>
      <c r="C35" s="41">
        <v>11307</v>
      </c>
    </row>
    <row r="36" spans="1:3">
      <c r="A36" s="41" t="s">
        <v>1307</v>
      </c>
      <c r="B36" s="25" t="s">
        <v>763</v>
      </c>
      <c r="C36" s="41" t="s">
        <v>1308</v>
      </c>
    </row>
    <row r="37" spans="1:3">
      <c r="A37" s="26" t="s">
        <v>1309</v>
      </c>
      <c r="B37" s="25" t="s">
        <v>763</v>
      </c>
      <c r="C37" s="41" t="s">
        <v>1310</v>
      </c>
    </row>
    <row r="38" spans="1:3">
      <c r="A38" s="26" t="s">
        <v>1311</v>
      </c>
      <c r="B38" s="27" t="s">
        <v>1312</v>
      </c>
      <c r="C38" s="28" t="s">
        <v>1313</v>
      </c>
    </row>
    <row r="39" spans="1:3">
      <c r="A39" s="29" t="s">
        <v>1314</v>
      </c>
      <c r="B39" s="30" t="s">
        <v>1315</v>
      </c>
      <c r="C39" s="42"/>
    </row>
    <row r="40" spans="1:3">
      <c r="A40" s="23"/>
      <c r="B40" s="23"/>
      <c r="C40" s="23"/>
    </row>
    <row r="41" spans="1:3">
      <c r="A41" s="176" t="s">
        <v>1316</v>
      </c>
      <c r="B41" s="177"/>
      <c r="C41" s="178"/>
    </row>
    <row r="42" spans="1:3">
      <c r="A42" s="176" t="s">
        <v>1317</v>
      </c>
      <c r="B42" s="177"/>
      <c r="C42" s="178"/>
    </row>
    <row r="43" spans="1:3">
      <c r="A43" s="23"/>
      <c r="B43" s="23"/>
      <c r="C43" s="23"/>
    </row>
    <row r="44" spans="1:3">
      <c r="A44" s="19" t="s">
        <v>1264</v>
      </c>
      <c r="B44" s="19" t="s">
        <v>1265</v>
      </c>
      <c r="C44" s="19" t="s">
        <v>1266</v>
      </c>
    </row>
    <row r="45" spans="1:3">
      <c r="A45" s="36" t="s">
        <v>1318</v>
      </c>
      <c r="B45" s="20" t="s">
        <v>1293</v>
      </c>
      <c r="C45" s="20" t="s">
        <v>1319</v>
      </c>
    </row>
    <row r="46" spans="1:3">
      <c r="A46" s="31" t="s">
        <v>1320</v>
      </c>
      <c r="B46" s="37" t="s">
        <v>1321</v>
      </c>
      <c r="C46" s="37" t="s">
        <v>1322</v>
      </c>
    </row>
    <row r="47" spans="1:3">
      <c r="A47" s="31" t="s">
        <v>1323</v>
      </c>
      <c r="B47" s="32" t="s">
        <v>1321</v>
      </c>
      <c r="C47" s="38">
        <v>44931</v>
      </c>
    </row>
    <row r="48" spans="1:3">
      <c r="A48" s="31" t="s">
        <v>1324</v>
      </c>
      <c r="B48" s="38">
        <v>44931</v>
      </c>
      <c r="C48" s="38">
        <v>44931</v>
      </c>
    </row>
    <row r="49" spans="1:3">
      <c r="A49" s="31" t="s">
        <v>1325</v>
      </c>
      <c r="B49" s="39">
        <v>152362</v>
      </c>
      <c r="C49" s="39">
        <v>476464</v>
      </c>
    </row>
    <row r="50" spans="1:3">
      <c r="A50" s="31" t="s">
        <v>1326</v>
      </c>
      <c r="B50" s="32" t="s">
        <v>1321</v>
      </c>
      <c r="C50" s="34">
        <v>7.58</v>
      </c>
    </row>
    <row r="51" spans="1:3">
      <c r="A51" s="31" t="s">
        <v>1327</v>
      </c>
      <c r="B51" s="32" t="s">
        <v>1321</v>
      </c>
      <c r="C51" s="34">
        <v>6821.34</v>
      </c>
    </row>
    <row r="52" spans="1:3">
      <c r="A52" s="31" t="s">
        <v>1328</v>
      </c>
      <c r="B52" s="32" t="s">
        <v>1329</v>
      </c>
      <c r="C52" s="32" t="s">
        <v>1330</v>
      </c>
    </row>
    <row r="53" spans="1:3">
      <c r="A53" s="31" t="s">
        <v>1331</v>
      </c>
      <c r="B53" s="32" t="s">
        <v>1332</v>
      </c>
      <c r="C53" s="32" t="s">
        <v>1332</v>
      </c>
    </row>
    <row r="54" spans="1:3">
      <c r="A54" s="31" t="s">
        <v>1333</v>
      </c>
      <c r="B54" s="32"/>
      <c r="C54" s="34"/>
    </row>
    <row r="55" spans="1:3">
      <c r="A55" s="31" t="s">
        <v>1334</v>
      </c>
      <c r="B55" s="32"/>
      <c r="C55" s="34"/>
    </row>
    <row r="56" spans="1:3">
      <c r="A56" s="31" t="s">
        <v>1335</v>
      </c>
      <c r="B56" s="32"/>
      <c r="C56" s="34"/>
    </row>
    <row r="57" spans="1:3">
      <c r="A57" s="31" t="s">
        <v>1336</v>
      </c>
      <c r="B57" s="32"/>
      <c r="C57" s="43"/>
    </row>
    <row r="58" spans="1:3">
      <c r="A58" s="31" t="s">
        <v>1337</v>
      </c>
      <c r="B58" s="32"/>
      <c r="C58" s="34"/>
    </row>
    <row r="62" spans="1:3">
      <c r="A62" s="133" t="s">
        <v>1338</v>
      </c>
      <c r="B62" s="133"/>
      <c r="C62" s="133"/>
    </row>
    <row r="63" spans="1:3">
      <c r="A63" s="133" t="s">
        <v>1339</v>
      </c>
      <c r="B63" s="133"/>
      <c r="C63" s="133"/>
    </row>
    <row r="64" spans="1:3">
      <c r="A64" s="134" t="s">
        <v>1340</v>
      </c>
      <c r="B64" s="133"/>
      <c r="C64" s="133"/>
    </row>
    <row r="65" spans="1:3">
      <c r="A65" s="134" t="s">
        <v>1341</v>
      </c>
      <c r="B65" s="133"/>
      <c r="C65" s="133"/>
    </row>
    <row r="66" spans="1:3">
      <c r="A66" s="133" t="s">
        <v>1342</v>
      </c>
      <c r="B66" s="133"/>
      <c r="C66" s="133"/>
    </row>
    <row r="67" spans="1:3">
      <c r="A67" s="134" t="s">
        <v>1343</v>
      </c>
      <c r="B67" s="133"/>
      <c r="C67" s="133"/>
    </row>
    <row r="68" spans="1:3">
      <c r="A68" s="134" t="s">
        <v>1344</v>
      </c>
      <c r="B68" s="133"/>
      <c r="C68" s="133"/>
    </row>
    <row r="69" spans="1:3">
      <c r="A69" s="134" t="s">
        <v>1345</v>
      </c>
      <c r="B69" s="133"/>
      <c r="C69" s="133"/>
    </row>
    <row r="70" spans="1:3">
      <c r="A70" s="134" t="s">
        <v>1346</v>
      </c>
      <c r="B70" s="133"/>
      <c r="C70" s="133"/>
    </row>
    <row r="71" spans="1:3">
      <c r="A71" s="134" t="s">
        <v>1347</v>
      </c>
      <c r="B71" s="133"/>
      <c r="C71" s="133"/>
    </row>
    <row r="72" spans="1:3">
      <c r="A72" s="134" t="s">
        <v>1348</v>
      </c>
      <c r="B72" s="133"/>
      <c r="C72" s="133"/>
    </row>
    <row r="73" spans="1:3">
      <c r="A73" s="134" t="s">
        <v>1349</v>
      </c>
      <c r="B73" s="133"/>
      <c r="C73" s="133"/>
    </row>
    <row r="74" spans="1:3">
      <c r="A74" s="133" t="s">
        <v>1350</v>
      </c>
      <c r="B74" s="133"/>
      <c r="C74" s="133"/>
    </row>
    <row r="75" spans="1:3">
      <c r="A75" s="134" t="s">
        <v>1351</v>
      </c>
      <c r="B75" s="133"/>
      <c r="C75" s="133"/>
    </row>
    <row r="76" spans="1:3">
      <c r="A76" s="134" t="s">
        <v>1352</v>
      </c>
      <c r="B76" s="133"/>
      <c r="C76" s="133"/>
    </row>
    <row r="77" spans="1:3">
      <c r="A77" s="134" t="s">
        <v>1353</v>
      </c>
      <c r="B77" s="133"/>
      <c r="C77" s="133"/>
    </row>
    <row r="78" spans="1:3">
      <c r="A78" s="134" t="s">
        <v>1354</v>
      </c>
      <c r="B78" s="133"/>
      <c r="C78" s="133"/>
    </row>
    <row r="79" spans="1:3">
      <c r="A79" s="134" t="s">
        <v>1355</v>
      </c>
      <c r="B79" s="133"/>
      <c r="C79" s="133"/>
    </row>
    <row r="80" spans="1:3">
      <c r="A80" s="134" t="s">
        <v>1356</v>
      </c>
      <c r="B80" s="133"/>
      <c r="C80" s="133"/>
    </row>
    <row r="81" spans="1:3">
      <c r="A81" s="133" t="s">
        <v>1357</v>
      </c>
      <c r="B81" s="133"/>
      <c r="C81" s="133"/>
    </row>
    <row r="82" spans="1:3">
      <c r="A82" s="134" t="s">
        <v>1358</v>
      </c>
      <c r="B82" s="133"/>
      <c r="C82" s="133"/>
    </row>
    <row r="83" spans="1:3">
      <c r="A83" s="134" t="s">
        <v>1359</v>
      </c>
      <c r="B83" s="133"/>
      <c r="C83" s="133"/>
    </row>
    <row r="84" spans="1:3">
      <c r="A84" s="133" t="s">
        <v>1360</v>
      </c>
      <c r="B84" s="133"/>
      <c r="C84" s="133"/>
    </row>
    <row r="85" spans="1:3">
      <c r="A85" s="133"/>
      <c r="B85" s="134" t="s">
        <v>1361</v>
      </c>
      <c r="C85" s="133"/>
    </row>
    <row r="86" spans="1:3">
      <c r="A86" s="133"/>
      <c r="B86" s="134" t="s">
        <v>1362</v>
      </c>
      <c r="C86" s="133"/>
    </row>
    <row r="87" spans="1:3">
      <c r="A87" s="133" t="s">
        <v>1363</v>
      </c>
      <c r="B87" s="133"/>
      <c r="C87" s="133"/>
    </row>
    <row r="88" spans="1:3">
      <c r="A88" s="134" t="s">
        <v>1364</v>
      </c>
      <c r="B88" s="133"/>
      <c r="C88" s="133"/>
    </row>
    <row r="89" spans="1:3">
      <c r="A89" s="133" t="s">
        <v>1365</v>
      </c>
      <c r="B89" s="133"/>
      <c r="C89" s="133"/>
    </row>
    <row r="90" spans="1:3">
      <c r="A90" s="133" t="s">
        <v>1366</v>
      </c>
      <c r="B90" s="133"/>
      <c r="C90" s="133"/>
    </row>
    <row r="91" spans="1:3">
      <c r="A91" s="133"/>
      <c r="B91" s="133" t="s">
        <v>1267</v>
      </c>
      <c r="C91" s="133"/>
    </row>
    <row r="92" spans="1:3">
      <c r="A92" s="133"/>
      <c r="B92" s="133" t="s">
        <v>1367</v>
      </c>
      <c r="C92" s="133"/>
    </row>
    <row r="93" spans="1:3">
      <c r="A93" s="133"/>
      <c r="B93" s="133" t="s">
        <v>1368</v>
      </c>
      <c r="C93" s="133"/>
    </row>
    <row r="94" spans="1:3">
      <c r="A94" s="133"/>
      <c r="B94" s="133" t="s">
        <v>1369</v>
      </c>
      <c r="C94" s="133"/>
    </row>
    <row r="95" spans="1:3">
      <c r="A95" s="133"/>
      <c r="B95" s="134" t="s">
        <v>1370</v>
      </c>
      <c r="C95" s="133"/>
    </row>
    <row r="96" spans="1:3">
      <c r="A96" s="133" t="s">
        <v>1371</v>
      </c>
      <c r="B96" s="133"/>
      <c r="C96" s="133"/>
    </row>
    <row r="97" spans="1:3">
      <c r="A97" s="133"/>
      <c r="B97" s="133" t="s">
        <v>1372</v>
      </c>
      <c r="C97" s="133"/>
    </row>
    <row r="98" spans="1:3">
      <c r="A98" s="133"/>
      <c r="B98" s="133" t="s">
        <v>1373</v>
      </c>
      <c r="C98" s="133"/>
    </row>
    <row r="99" spans="1:3">
      <c r="A99" s="133" t="s">
        <v>1374</v>
      </c>
      <c r="B99" s="133"/>
      <c r="C99" s="133"/>
    </row>
    <row r="100" spans="1:3">
      <c r="A100" s="133">
        <v>1</v>
      </c>
      <c r="B100" s="133" t="s">
        <v>1375</v>
      </c>
      <c r="C100" s="133"/>
    </row>
    <row r="101" spans="1:3">
      <c r="A101" s="133">
        <v>2</v>
      </c>
      <c r="B101" s="133" t="s">
        <v>1376</v>
      </c>
      <c r="C101" s="133"/>
    </row>
    <row r="102" spans="1:3">
      <c r="A102" s="133"/>
      <c r="B102" s="133"/>
      <c r="C102" s="133" t="s">
        <v>1377</v>
      </c>
    </row>
    <row r="103" spans="1:3">
      <c r="A103" s="133"/>
      <c r="B103" s="133"/>
      <c r="C103" s="133" t="s">
        <v>1378</v>
      </c>
    </row>
    <row r="104" spans="1:3">
      <c r="A104" s="133">
        <v>3</v>
      </c>
      <c r="B104" s="133" t="s">
        <v>1379</v>
      </c>
      <c r="C104" s="133"/>
    </row>
    <row r="105" spans="1:3">
      <c r="A105" s="133">
        <v>4</v>
      </c>
      <c r="B105" s="133" t="s">
        <v>1380</v>
      </c>
      <c r="C105" s="133"/>
    </row>
    <row r="106" spans="1:3">
      <c r="A106" s="133"/>
      <c r="B106" s="133"/>
      <c r="C106" s="134" t="s">
        <v>1381</v>
      </c>
    </row>
    <row r="107" spans="1:3">
      <c r="A107" s="133"/>
      <c r="B107" s="133"/>
      <c r="C107" s="134" t="s">
        <v>1382</v>
      </c>
    </row>
    <row r="108" spans="1:3">
      <c r="A108" s="133" t="s">
        <v>1383</v>
      </c>
      <c r="B108" s="133"/>
      <c r="C108" s="133"/>
    </row>
    <row r="109" spans="1:3">
      <c r="A109" s="133" t="s">
        <v>1384</v>
      </c>
      <c r="B109" s="133"/>
      <c r="C109" s="133"/>
    </row>
    <row r="110" spans="1:3">
      <c r="A110" s="133" t="s">
        <v>1385</v>
      </c>
      <c r="B110" s="133"/>
      <c r="C110" s="133"/>
    </row>
    <row r="111" spans="1:3">
      <c r="A111" s="134" t="s">
        <v>1386</v>
      </c>
      <c r="B111" s="133"/>
      <c r="C111" s="133"/>
    </row>
    <row r="112" spans="1:3">
      <c r="A112" s="134" t="s">
        <v>1387</v>
      </c>
      <c r="B112" s="133"/>
      <c r="C112" s="133"/>
    </row>
    <row r="113" spans="1:3">
      <c r="A113" s="133" t="s">
        <v>1388</v>
      </c>
      <c r="B113" s="133"/>
      <c r="C113" s="133"/>
    </row>
    <row r="114" spans="1:3">
      <c r="A114" s="133" t="s">
        <v>1389</v>
      </c>
      <c r="B114" s="133"/>
      <c r="C114" s="133"/>
    </row>
  </sheetData>
  <mergeCells count="7">
    <mergeCell ref="A42:C42"/>
    <mergeCell ref="A28:C28"/>
    <mergeCell ref="A29:C29"/>
    <mergeCell ref="A30:C30"/>
    <mergeCell ref="A31:C31"/>
    <mergeCell ref="A32:C32"/>
    <mergeCell ref="A41:C4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E0A4-8407-43CF-949D-0872949814F6}">
  <sheetPr>
    <tabColor rgb="FF7030A0"/>
  </sheetPr>
  <dimension ref="A1:J159"/>
  <sheetViews>
    <sheetView showGridLines="0" topLeftCell="A101" workbookViewId="0">
      <selection activeCell="B119" sqref="B119"/>
    </sheetView>
  </sheetViews>
  <sheetFormatPr defaultRowHeight="14.45"/>
  <cols>
    <col min="1" max="1" width="27.7109375" bestFit="1" customWidth="1"/>
    <col min="2" max="2" width="43" bestFit="1" customWidth="1"/>
    <col min="3" max="3" width="3.7109375" customWidth="1"/>
    <col min="4" max="4" width="2.28515625" bestFit="1" customWidth="1"/>
    <col min="5" max="5" width="22" bestFit="1" customWidth="1"/>
    <col min="6" max="6" width="24.140625" bestFit="1" customWidth="1"/>
    <col min="7" max="7" width="28.28515625" bestFit="1" customWidth="1"/>
    <col min="8" max="8" width="21.5703125" bestFit="1" customWidth="1"/>
    <col min="9" max="9" width="85.140625" bestFit="1" customWidth="1"/>
    <col min="10" max="10" width="68.5703125" bestFit="1" customWidth="1"/>
  </cols>
  <sheetData>
    <row r="1" spans="1:10" ht="15.6">
      <c r="A1" s="184" t="s">
        <v>1390</v>
      </c>
      <c r="B1" s="184"/>
      <c r="E1" s="103" t="s">
        <v>1391</v>
      </c>
      <c r="F1" s="104" t="s">
        <v>1392</v>
      </c>
      <c r="G1" s="104" t="s">
        <v>1393</v>
      </c>
      <c r="H1" s="104" t="s">
        <v>1</v>
      </c>
      <c r="I1" s="104" t="s">
        <v>1394</v>
      </c>
      <c r="J1" s="104" t="s">
        <v>1395</v>
      </c>
    </row>
    <row r="2" spans="1:10" ht="15.6">
      <c r="A2" s="89" t="s">
        <v>1396</v>
      </c>
      <c r="B2" s="89" t="s">
        <v>1397</v>
      </c>
      <c r="D2" s="1">
        <v>1</v>
      </c>
      <c r="E2" s="105" t="s">
        <v>1398</v>
      </c>
      <c r="F2" s="106" t="s">
        <v>1399</v>
      </c>
      <c r="G2" s="106" t="s">
        <v>1400</v>
      </c>
      <c r="H2" s="107">
        <v>45975</v>
      </c>
      <c r="I2" s="106" t="s">
        <v>1401</v>
      </c>
      <c r="J2" s="108" t="s">
        <v>260</v>
      </c>
    </row>
    <row r="3" spans="1:10" ht="15.6">
      <c r="A3" s="89" t="s">
        <v>1402</v>
      </c>
      <c r="B3" s="89" t="s">
        <v>264</v>
      </c>
      <c r="D3" s="1">
        <v>2</v>
      </c>
      <c r="E3" s="109" t="s">
        <v>1398</v>
      </c>
      <c r="F3" s="109" t="s">
        <v>1403</v>
      </c>
      <c r="G3" s="109" t="s">
        <v>1404</v>
      </c>
      <c r="H3" s="76">
        <v>45978</v>
      </c>
      <c r="I3" s="77" t="s">
        <v>1405</v>
      </c>
      <c r="J3" s="110" t="s">
        <v>269</v>
      </c>
    </row>
    <row r="4" spans="1:10" ht="15.6">
      <c r="A4" s="89" t="s">
        <v>1406</v>
      </c>
      <c r="B4" s="90">
        <v>1088000</v>
      </c>
      <c r="D4" s="1">
        <v>3</v>
      </c>
      <c r="E4" s="111" t="s">
        <v>1407</v>
      </c>
      <c r="F4" s="111" t="s">
        <v>1407</v>
      </c>
      <c r="G4" s="111" t="s">
        <v>1408</v>
      </c>
      <c r="H4" s="112" t="s">
        <v>1409</v>
      </c>
      <c r="I4" s="111" t="s">
        <v>1410</v>
      </c>
      <c r="J4" s="113" t="s">
        <v>357</v>
      </c>
    </row>
    <row r="5" spans="1:10" ht="15.6">
      <c r="A5" s="88"/>
      <c r="B5" s="88"/>
      <c r="D5" s="1">
        <v>4</v>
      </c>
      <c r="E5" s="77" t="s">
        <v>1407</v>
      </c>
      <c r="F5" s="77" t="s">
        <v>1407</v>
      </c>
      <c r="G5" s="77" t="s">
        <v>1411</v>
      </c>
      <c r="H5" s="76">
        <v>45980</v>
      </c>
      <c r="I5" s="77" t="s">
        <v>1412</v>
      </c>
      <c r="J5" s="114" t="s">
        <v>322</v>
      </c>
    </row>
    <row r="6" spans="1:10" ht="15.6">
      <c r="A6" s="89" t="s">
        <v>1396</v>
      </c>
      <c r="B6" s="89" t="s">
        <v>1413</v>
      </c>
      <c r="D6" s="1">
        <v>5</v>
      </c>
      <c r="E6" s="111" t="s">
        <v>1407</v>
      </c>
      <c r="F6" s="111" t="s">
        <v>1414</v>
      </c>
      <c r="G6" s="111" t="s">
        <v>1415</v>
      </c>
      <c r="H6" s="112" t="s">
        <v>1416</v>
      </c>
      <c r="I6" s="111" t="s">
        <v>1417</v>
      </c>
      <c r="J6" s="113" t="s">
        <v>1418</v>
      </c>
    </row>
    <row r="7" spans="1:10" ht="15.6">
      <c r="A7" s="89" t="s">
        <v>1402</v>
      </c>
      <c r="B7" s="89" t="s">
        <v>263</v>
      </c>
      <c r="D7" s="1">
        <v>6</v>
      </c>
      <c r="E7" s="115" t="s">
        <v>1419</v>
      </c>
      <c r="F7" s="115" t="s">
        <v>1420</v>
      </c>
      <c r="G7" s="115" t="s">
        <v>1421</v>
      </c>
      <c r="H7" s="116">
        <v>45986</v>
      </c>
      <c r="I7" s="115" t="s">
        <v>1422</v>
      </c>
      <c r="J7" s="113" t="s">
        <v>337</v>
      </c>
    </row>
    <row r="8" spans="1:10" ht="15.6">
      <c r="A8" s="89" t="s">
        <v>1406</v>
      </c>
      <c r="B8" s="90">
        <v>163000</v>
      </c>
      <c r="D8" s="1">
        <v>7</v>
      </c>
      <c r="E8" s="115" t="s">
        <v>1403</v>
      </c>
      <c r="F8" s="115" t="s">
        <v>1423</v>
      </c>
      <c r="G8" s="115" t="s">
        <v>1424</v>
      </c>
      <c r="H8" s="116">
        <v>45987</v>
      </c>
      <c r="I8" s="115" t="s">
        <v>1422</v>
      </c>
      <c r="J8" s="113" t="s">
        <v>342</v>
      </c>
    </row>
    <row r="9" spans="1:10" ht="15.6">
      <c r="A9" s="88"/>
      <c r="B9" s="88"/>
      <c r="D9" s="1">
        <v>8</v>
      </c>
      <c r="E9" s="79" t="s">
        <v>1425</v>
      </c>
      <c r="F9" s="79" t="s">
        <v>1426</v>
      </c>
      <c r="G9" s="79" t="s">
        <v>1421</v>
      </c>
      <c r="H9" s="78">
        <v>45989</v>
      </c>
      <c r="I9" s="79" t="s">
        <v>1427</v>
      </c>
      <c r="J9" s="79"/>
    </row>
    <row r="10" spans="1:10" ht="15.6">
      <c r="A10" s="89" t="s">
        <v>1396</v>
      </c>
      <c r="B10" s="89" t="s">
        <v>1428</v>
      </c>
      <c r="D10" s="1"/>
      <c r="E10" s="81" t="s">
        <v>1429</v>
      </c>
      <c r="F10" s="81" t="s">
        <v>1430</v>
      </c>
      <c r="G10" s="81" t="s">
        <v>1430</v>
      </c>
      <c r="H10" s="80" t="s">
        <v>1430</v>
      </c>
      <c r="I10" s="80" t="s">
        <v>1430</v>
      </c>
      <c r="J10" s="81"/>
    </row>
    <row r="11" spans="1:10" ht="15.6">
      <c r="A11" s="89" t="s">
        <v>1402</v>
      </c>
      <c r="B11" s="89" t="s">
        <v>257</v>
      </c>
      <c r="D11" s="1"/>
      <c r="E11" s="79" t="s">
        <v>1425</v>
      </c>
      <c r="F11" s="79" t="s">
        <v>1430</v>
      </c>
      <c r="G11" s="79" t="s">
        <v>1430</v>
      </c>
      <c r="H11" s="78" t="s">
        <v>1430</v>
      </c>
      <c r="I11" s="78" t="s">
        <v>1430</v>
      </c>
      <c r="J11" s="79"/>
    </row>
    <row r="12" spans="1:10" ht="15.6">
      <c r="A12" s="89" t="s">
        <v>1406</v>
      </c>
      <c r="B12" s="90">
        <v>262000</v>
      </c>
      <c r="D12" s="1"/>
      <c r="E12" s="117" t="s">
        <v>1429</v>
      </c>
      <c r="F12" s="81" t="s">
        <v>1430</v>
      </c>
      <c r="G12" s="81" t="s">
        <v>1430</v>
      </c>
      <c r="H12" s="80" t="s">
        <v>1430</v>
      </c>
      <c r="I12" s="81" t="s">
        <v>1427</v>
      </c>
      <c r="J12" s="81"/>
    </row>
    <row r="13" spans="1:10" ht="15.6">
      <c r="A13" s="88"/>
      <c r="B13" s="88"/>
      <c r="E13" s="79" t="s">
        <v>1407</v>
      </c>
      <c r="F13" s="79" t="s">
        <v>1430</v>
      </c>
      <c r="G13" s="79" t="s">
        <v>1430</v>
      </c>
      <c r="H13" s="78" t="s">
        <v>1430</v>
      </c>
      <c r="I13" s="79" t="s">
        <v>1427</v>
      </c>
      <c r="J13" s="79"/>
    </row>
    <row r="14" spans="1:10" ht="15.6">
      <c r="A14" s="89" t="s">
        <v>1396</v>
      </c>
      <c r="B14" s="89" t="s">
        <v>1428</v>
      </c>
    </row>
    <row r="15" spans="1:10" ht="15.6">
      <c r="A15" s="89" t="s">
        <v>1402</v>
      </c>
      <c r="B15" s="89" t="s">
        <v>262</v>
      </c>
    </row>
    <row r="16" spans="1:10" ht="15.6">
      <c r="A16" s="89" t="s">
        <v>1406</v>
      </c>
      <c r="B16" s="90">
        <v>191000</v>
      </c>
    </row>
    <row r="17" spans="1:8" ht="15.6">
      <c r="A17" s="88"/>
      <c r="B17" s="88"/>
    </row>
    <row r="18" spans="1:8" ht="15.6">
      <c r="A18" s="89" t="s">
        <v>1431</v>
      </c>
      <c r="B18" s="89" t="s">
        <v>49</v>
      </c>
      <c r="E18" s="118" t="s">
        <v>100</v>
      </c>
      <c r="F18" s="118" t="s">
        <v>39</v>
      </c>
      <c r="G18" s="119" t="s">
        <v>108</v>
      </c>
      <c r="H18" s="119" t="s">
        <v>1432</v>
      </c>
    </row>
    <row r="19" spans="1:8" ht="15.6">
      <c r="A19" s="183" t="s">
        <v>1433</v>
      </c>
      <c r="B19" s="89" t="s">
        <v>1434</v>
      </c>
      <c r="E19" s="120" t="s">
        <v>257</v>
      </c>
      <c r="F19" s="73">
        <v>262000</v>
      </c>
      <c r="G19" s="75" t="s">
        <v>1435</v>
      </c>
      <c r="H19" s="75" t="s">
        <v>49</v>
      </c>
    </row>
    <row r="20" spans="1:8" ht="15.6">
      <c r="A20" s="183"/>
      <c r="B20" s="87" t="s">
        <v>260</v>
      </c>
      <c r="E20" s="120" t="s">
        <v>262</v>
      </c>
      <c r="F20" s="73">
        <v>191000</v>
      </c>
      <c r="G20" s="75" t="s">
        <v>1436</v>
      </c>
      <c r="H20" s="75" t="s">
        <v>49</v>
      </c>
    </row>
    <row r="21" spans="1:8" ht="15.6">
      <c r="A21" s="89" t="s">
        <v>1437</v>
      </c>
      <c r="B21" s="86" t="s">
        <v>1438</v>
      </c>
      <c r="E21" s="84" t="s">
        <v>266</v>
      </c>
      <c r="F21" s="121">
        <v>971000</v>
      </c>
      <c r="G21" s="122" t="s">
        <v>1439</v>
      </c>
      <c r="H21" s="122" t="s">
        <v>49</v>
      </c>
    </row>
    <row r="22" spans="1:8" ht="15.6">
      <c r="A22" s="89" t="s">
        <v>1440</v>
      </c>
      <c r="B22" s="91">
        <v>45975</v>
      </c>
      <c r="E22" s="84" t="s">
        <v>274</v>
      </c>
      <c r="F22" s="121">
        <v>510000</v>
      </c>
      <c r="G22" s="122" t="s">
        <v>1439</v>
      </c>
      <c r="H22" s="122" t="s">
        <v>49</v>
      </c>
    </row>
    <row r="23" spans="1:8" ht="15.6">
      <c r="A23" s="89" t="s">
        <v>1441</v>
      </c>
      <c r="B23" s="91">
        <v>45978</v>
      </c>
      <c r="E23" s="75" t="s">
        <v>1442</v>
      </c>
      <c r="F23" s="123">
        <v>160000</v>
      </c>
      <c r="G23" s="75" t="s">
        <v>1436</v>
      </c>
      <c r="H23" s="75" t="s">
        <v>1443</v>
      </c>
    </row>
    <row r="24" spans="1:8" ht="15.6">
      <c r="A24" s="171"/>
      <c r="B24" s="171"/>
      <c r="E24" s="124" t="s">
        <v>319</v>
      </c>
      <c r="F24" s="125">
        <v>218000</v>
      </c>
      <c r="G24" s="124" t="s">
        <v>1435</v>
      </c>
      <c r="H24" s="75" t="s">
        <v>1443</v>
      </c>
    </row>
    <row r="25" spans="1:8" ht="15.6">
      <c r="A25" s="184" t="s">
        <v>1444</v>
      </c>
      <c r="B25" s="184"/>
      <c r="E25" s="126" t="s">
        <v>340</v>
      </c>
      <c r="F25" s="83">
        <v>1090000</v>
      </c>
      <c r="G25" s="127" t="s">
        <v>1445</v>
      </c>
      <c r="H25" s="127" t="s">
        <v>50</v>
      </c>
    </row>
    <row r="26" spans="1:8" ht="15.6">
      <c r="A26" s="89" t="s">
        <v>1396</v>
      </c>
      <c r="B26" s="89" t="s">
        <v>1428</v>
      </c>
      <c r="E26" s="128" t="s">
        <v>339</v>
      </c>
      <c r="F26" s="82">
        <v>163000</v>
      </c>
      <c r="G26" s="129" t="s">
        <v>1445</v>
      </c>
      <c r="H26" s="129" t="s">
        <v>50</v>
      </c>
    </row>
    <row r="27" spans="1:8" ht="15.6">
      <c r="A27" s="89" t="s">
        <v>1402</v>
      </c>
      <c r="B27" s="89" t="s">
        <v>266</v>
      </c>
      <c r="E27" s="75" t="s">
        <v>318</v>
      </c>
      <c r="F27" s="123">
        <v>191000</v>
      </c>
      <c r="G27" s="75" t="s">
        <v>1436</v>
      </c>
      <c r="H27" s="75" t="s">
        <v>50</v>
      </c>
    </row>
    <row r="28" spans="1:8" ht="15.6">
      <c r="A28" s="89" t="s">
        <v>1406</v>
      </c>
      <c r="B28" s="90">
        <v>970381.91</v>
      </c>
      <c r="E28" s="84" t="s">
        <v>324</v>
      </c>
      <c r="F28" s="121">
        <v>971000</v>
      </c>
      <c r="G28" s="122" t="s">
        <v>1446</v>
      </c>
      <c r="H28" s="122" t="s">
        <v>50</v>
      </c>
    </row>
    <row r="29" spans="1:8" ht="15.6">
      <c r="A29" s="93"/>
      <c r="B29" s="93"/>
      <c r="E29" s="84" t="s">
        <v>300</v>
      </c>
      <c r="F29" s="121">
        <v>853000</v>
      </c>
      <c r="G29" s="122" t="s">
        <v>1446</v>
      </c>
      <c r="H29" s="122" t="s">
        <v>50</v>
      </c>
    </row>
    <row r="30" spans="1:8" ht="15.6">
      <c r="A30" s="89" t="s">
        <v>1396</v>
      </c>
      <c r="B30" s="89" t="s">
        <v>1428</v>
      </c>
      <c r="E30" s="130" t="s">
        <v>1447</v>
      </c>
      <c r="F30" s="74" t="s">
        <v>1448</v>
      </c>
      <c r="G30" s="75"/>
      <c r="H30" s="75" t="s">
        <v>60</v>
      </c>
    </row>
    <row r="31" spans="1:8" ht="15.6">
      <c r="A31" s="89" t="s">
        <v>1402</v>
      </c>
      <c r="B31" s="89" t="s">
        <v>274</v>
      </c>
      <c r="E31" s="131" t="s">
        <v>1449</v>
      </c>
      <c r="F31" s="85">
        <v>147000</v>
      </c>
      <c r="G31" s="129"/>
      <c r="H31" s="129" t="s">
        <v>60</v>
      </c>
    </row>
    <row r="32" spans="1:8" ht="15.6">
      <c r="A32" s="89" t="s">
        <v>1406</v>
      </c>
      <c r="B32" s="90" t="s">
        <v>1450</v>
      </c>
      <c r="E32" s="132" t="s">
        <v>264</v>
      </c>
      <c r="F32" s="123">
        <v>1088000</v>
      </c>
      <c r="G32" s="75"/>
      <c r="H32" s="75" t="s">
        <v>58</v>
      </c>
    </row>
    <row r="33" spans="1:8" ht="15.6">
      <c r="A33" s="93"/>
      <c r="B33" s="94"/>
      <c r="E33" s="132" t="s">
        <v>263</v>
      </c>
      <c r="F33" s="123">
        <v>163000</v>
      </c>
      <c r="G33" s="75"/>
      <c r="H33" s="75" t="s">
        <v>58</v>
      </c>
    </row>
    <row r="34" spans="1:8" ht="15.6">
      <c r="A34" s="89" t="s">
        <v>1431</v>
      </c>
      <c r="B34" s="89" t="s">
        <v>49</v>
      </c>
    </row>
    <row r="35" spans="1:8" ht="15.6">
      <c r="A35" s="183" t="s">
        <v>1433</v>
      </c>
      <c r="B35" s="89" t="s">
        <v>1451</v>
      </c>
    </row>
    <row r="36" spans="1:8">
      <c r="A36" s="183"/>
      <c r="B36" s="87" t="s">
        <v>269</v>
      </c>
    </row>
    <row r="37" spans="1:8" ht="15.6">
      <c r="A37" s="89" t="s">
        <v>1437</v>
      </c>
      <c r="B37" s="86" t="s">
        <v>1452</v>
      </c>
    </row>
    <row r="38" spans="1:8" ht="15.6">
      <c r="A38" s="89" t="s">
        <v>1440</v>
      </c>
      <c r="B38" s="91">
        <v>45978</v>
      </c>
    </row>
    <row r="39" spans="1:8" ht="15.6">
      <c r="A39" s="89" t="s">
        <v>1441</v>
      </c>
      <c r="B39" s="91">
        <v>45985</v>
      </c>
    </row>
    <row r="40" spans="1:8" ht="15.6">
      <c r="A40" s="171"/>
      <c r="B40" s="171"/>
    </row>
    <row r="41" spans="1:8" ht="15.6">
      <c r="A41" s="184" t="s">
        <v>1453</v>
      </c>
      <c r="B41" s="184"/>
    </row>
    <row r="42" spans="1:8" ht="15.6">
      <c r="A42" s="89" t="s">
        <v>1396</v>
      </c>
      <c r="B42" s="89" t="s">
        <v>1397</v>
      </c>
    </row>
    <row r="43" spans="1:8" ht="15.6">
      <c r="A43" s="89" t="s">
        <v>1402</v>
      </c>
      <c r="B43" s="89" t="s">
        <v>1454</v>
      </c>
    </row>
    <row r="44" spans="1:8" ht="15.6">
      <c r="A44" s="89" t="s">
        <v>1406</v>
      </c>
      <c r="B44" s="83">
        <v>1090000</v>
      </c>
    </row>
    <row r="45" spans="1:8" ht="15.6">
      <c r="A45" s="93"/>
      <c r="B45" s="88"/>
    </row>
    <row r="46" spans="1:8" ht="15.6">
      <c r="A46" s="95" t="s">
        <v>1396</v>
      </c>
      <c r="B46" s="89" t="s">
        <v>1413</v>
      </c>
    </row>
    <row r="47" spans="1:8" ht="15.6">
      <c r="A47" s="95" t="s">
        <v>1402</v>
      </c>
      <c r="B47" s="89" t="s">
        <v>339</v>
      </c>
    </row>
    <row r="48" spans="1:8" ht="15.6">
      <c r="A48" s="95" t="s">
        <v>1406</v>
      </c>
      <c r="B48" s="73">
        <v>163000</v>
      </c>
    </row>
    <row r="49" spans="1:2" ht="15.6">
      <c r="A49" s="93"/>
      <c r="B49" s="94"/>
    </row>
    <row r="50" spans="1:2" ht="15.6">
      <c r="A50" s="89" t="s">
        <v>1431</v>
      </c>
      <c r="B50" s="89" t="s">
        <v>148</v>
      </c>
    </row>
    <row r="51" spans="1:2" ht="15.6">
      <c r="A51" s="183" t="s">
        <v>1433</v>
      </c>
      <c r="B51" s="89" t="s">
        <v>1455</v>
      </c>
    </row>
    <row r="52" spans="1:2">
      <c r="A52" s="183"/>
      <c r="B52" s="87" t="s">
        <v>357</v>
      </c>
    </row>
    <row r="53" spans="1:2" ht="15.6">
      <c r="A53" s="89" t="s">
        <v>1437</v>
      </c>
      <c r="B53" s="86" t="s">
        <v>1456</v>
      </c>
    </row>
    <row r="54" spans="1:2" ht="15.6">
      <c r="A54" s="89" t="s">
        <v>1440</v>
      </c>
      <c r="B54" s="91">
        <v>45978</v>
      </c>
    </row>
    <row r="55" spans="1:2" ht="15.6">
      <c r="A55" s="89" t="s">
        <v>1441</v>
      </c>
      <c r="B55" s="91">
        <v>45981</v>
      </c>
    </row>
    <row r="56" spans="1:2" ht="15.6">
      <c r="A56" s="171"/>
      <c r="B56" s="171"/>
    </row>
    <row r="57" spans="1:2" ht="15.6">
      <c r="A57" s="184" t="s">
        <v>1457</v>
      </c>
      <c r="B57" s="184"/>
    </row>
    <row r="58" spans="1:2" ht="15.6">
      <c r="A58" s="89" t="s">
        <v>1396</v>
      </c>
      <c r="B58" s="89" t="s">
        <v>1428</v>
      </c>
    </row>
    <row r="59" spans="1:2" ht="15.6">
      <c r="A59" s="89" t="s">
        <v>1402</v>
      </c>
      <c r="B59" s="89" t="s">
        <v>324</v>
      </c>
    </row>
    <row r="60" spans="1:2" ht="15.6">
      <c r="A60" s="89" t="s">
        <v>1406</v>
      </c>
      <c r="B60" s="90">
        <v>971000</v>
      </c>
    </row>
    <row r="61" spans="1:2" ht="15.6">
      <c r="A61" s="93"/>
      <c r="B61" s="93"/>
    </row>
    <row r="62" spans="1:2" ht="15.6">
      <c r="A62" s="89" t="s">
        <v>1396</v>
      </c>
      <c r="B62" s="89" t="s">
        <v>1428</v>
      </c>
    </row>
    <row r="63" spans="1:2" ht="15.6">
      <c r="A63" s="89" t="s">
        <v>1402</v>
      </c>
      <c r="B63" s="89" t="s">
        <v>300</v>
      </c>
    </row>
    <row r="64" spans="1:2" ht="15.6">
      <c r="A64" s="89" t="s">
        <v>1406</v>
      </c>
      <c r="B64" s="90">
        <v>853000</v>
      </c>
    </row>
    <row r="65" spans="1:2" ht="15.6">
      <c r="A65" s="93"/>
      <c r="B65" s="94"/>
    </row>
    <row r="66" spans="1:2" ht="15.6">
      <c r="A66" s="89" t="s">
        <v>1431</v>
      </c>
      <c r="B66" s="89" t="s">
        <v>148</v>
      </c>
    </row>
    <row r="67" spans="1:2" ht="15.6">
      <c r="A67" s="183" t="s">
        <v>1433</v>
      </c>
      <c r="B67" s="89" t="s">
        <v>1458</v>
      </c>
    </row>
    <row r="68" spans="1:2">
      <c r="A68" s="183"/>
      <c r="B68" s="96" t="s">
        <v>322</v>
      </c>
    </row>
    <row r="69" spans="1:2" ht="15.6">
      <c r="A69" s="89" t="s">
        <v>1437</v>
      </c>
      <c r="B69" s="86" t="s">
        <v>1459</v>
      </c>
    </row>
    <row r="70" spans="1:2" ht="15.6">
      <c r="A70" s="89" t="s">
        <v>1440</v>
      </c>
      <c r="B70" s="91">
        <v>45980</v>
      </c>
    </row>
    <row r="71" spans="1:2" ht="15.6">
      <c r="A71" s="89" t="s">
        <v>1441</v>
      </c>
      <c r="B71" s="91">
        <v>45985</v>
      </c>
    </row>
    <row r="72" spans="1:2" ht="15.6">
      <c r="A72" s="171"/>
      <c r="B72" s="171"/>
    </row>
    <row r="73" spans="1:2" ht="15.6">
      <c r="A73" s="184" t="s">
        <v>1460</v>
      </c>
      <c r="B73" s="184"/>
    </row>
    <row r="74" spans="1:2" ht="15.6">
      <c r="A74" s="89" t="s">
        <v>1396</v>
      </c>
      <c r="B74" s="89" t="s">
        <v>1428</v>
      </c>
    </row>
    <row r="75" spans="1:2" ht="15.6">
      <c r="A75" s="89" t="s">
        <v>1402</v>
      </c>
      <c r="B75" s="89" t="s">
        <v>319</v>
      </c>
    </row>
    <row r="76" spans="1:2" ht="15.6">
      <c r="A76" s="89" t="s">
        <v>1406</v>
      </c>
      <c r="B76" s="90">
        <v>218000</v>
      </c>
    </row>
    <row r="77" spans="1:2" ht="15.6">
      <c r="A77" s="88"/>
      <c r="B77" s="88"/>
    </row>
    <row r="78" spans="1:2" ht="15.6">
      <c r="A78" s="89" t="s">
        <v>1396</v>
      </c>
      <c r="B78" s="89" t="s">
        <v>1428</v>
      </c>
    </row>
    <row r="79" spans="1:2" ht="15.6">
      <c r="A79" s="89" t="s">
        <v>1402</v>
      </c>
      <c r="B79" s="89" t="s">
        <v>318</v>
      </c>
    </row>
    <row r="80" spans="1:2" ht="15.6">
      <c r="A80" s="89" t="s">
        <v>1406</v>
      </c>
      <c r="B80" s="90">
        <v>191000</v>
      </c>
    </row>
    <row r="81" spans="1:2" ht="15.6">
      <c r="A81" s="93"/>
      <c r="B81" s="93"/>
    </row>
    <row r="82" spans="1:2" ht="15.6">
      <c r="A82" s="89" t="s">
        <v>1396</v>
      </c>
      <c r="B82" s="89" t="s">
        <v>1428</v>
      </c>
    </row>
    <row r="83" spans="1:2" ht="15.6">
      <c r="A83" s="89" t="s">
        <v>1402</v>
      </c>
      <c r="B83" s="89" t="s">
        <v>1442</v>
      </c>
    </row>
    <row r="84" spans="1:2" ht="15.6">
      <c r="A84" s="89" t="s">
        <v>1406</v>
      </c>
      <c r="B84" s="90">
        <v>160000</v>
      </c>
    </row>
    <row r="85" spans="1:2" ht="15.6">
      <c r="A85" s="93"/>
      <c r="B85" s="94"/>
    </row>
    <row r="86" spans="1:2" ht="15.6">
      <c r="A86" s="89" t="s">
        <v>1431</v>
      </c>
      <c r="B86" s="89" t="s">
        <v>148</v>
      </c>
    </row>
    <row r="87" spans="1:2" ht="15.6">
      <c r="A87" s="183" t="s">
        <v>1433</v>
      </c>
      <c r="B87" s="89" t="s">
        <v>1461</v>
      </c>
    </row>
    <row r="88" spans="1:2">
      <c r="A88" s="183"/>
      <c r="B88" s="96" t="s">
        <v>316</v>
      </c>
    </row>
    <row r="89" spans="1:2" ht="15.6">
      <c r="A89" s="89" t="s">
        <v>1437</v>
      </c>
      <c r="B89" s="86" t="s">
        <v>1462</v>
      </c>
    </row>
    <row r="90" spans="1:2" ht="15.6">
      <c r="A90" s="89" t="s">
        <v>1440</v>
      </c>
      <c r="B90" s="91">
        <v>45985</v>
      </c>
    </row>
    <row r="91" spans="1:2" ht="15.6">
      <c r="A91" s="89" t="s">
        <v>1441</v>
      </c>
      <c r="B91" s="91">
        <v>45987</v>
      </c>
    </row>
    <row r="92" spans="1:2" ht="15.6">
      <c r="A92" s="92"/>
      <c r="B92" s="92"/>
    </row>
    <row r="93" spans="1:2" ht="15.6">
      <c r="A93" s="182" t="s">
        <v>1463</v>
      </c>
      <c r="B93" s="182"/>
    </row>
    <row r="94" spans="1:2" ht="15.6">
      <c r="A94" s="89" t="s">
        <v>1396</v>
      </c>
      <c r="B94" s="89" t="s">
        <v>1397</v>
      </c>
    </row>
    <row r="95" spans="1:2" ht="15.6">
      <c r="A95" s="89" t="s">
        <v>1402</v>
      </c>
      <c r="B95" s="89" t="s">
        <v>340</v>
      </c>
    </row>
    <row r="96" spans="1:2" ht="15.6">
      <c r="A96" s="89" t="s">
        <v>1406</v>
      </c>
      <c r="B96" s="90">
        <v>1090000</v>
      </c>
    </row>
    <row r="97" spans="1:2" ht="15.6">
      <c r="A97" s="88"/>
      <c r="B97" s="88"/>
    </row>
    <row r="98" spans="1:2" ht="15.6">
      <c r="A98" s="89" t="s">
        <v>1396</v>
      </c>
      <c r="B98" s="89" t="s">
        <v>1413</v>
      </c>
    </row>
    <row r="99" spans="1:2" ht="15.6">
      <c r="A99" s="89" t="s">
        <v>1402</v>
      </c>
      <c r="B99" s="89" t="s">
        <v>339</v>
      </c>
    </row>
    <row r="100" spans="1:2" ht="15.6">
      <c r="A100" s="89" t="s">
        <v>1406</v>
      </c>
      <c r="B100" s="90">
        <v>163000</v>
      </c>
    </row>
    <row r="101" spans="1:2" ht="15.6">
      <c r="A101" s="88"/>
      <c r="B101" s="88"/>
    </row>
    <row r="102" spans="1:2" ht="15.6">
      <c r="A102" s="89" t="s">
        <v>1396</v>
      </c>
      <c r="B102" s="89" t="s">
        <v>1428</v>
      </c>
    </row>
    <row r="103" spans="1:2" ht="15.6">
      <c r="A103" s="89" t="s">
        <v>1402</v>
      </c>
      <c r="B103" s="89" t="s">
        <v>257</v>
      </c>
    </row>
    <row r="104" spans="1:2" ht="15.6">
      <c r="A104" s="89" t="s">
        <v>1406</v>
      </c>
      <c r="B104" s="90">
        <v>262000</v>
      </c>
    </row>
    <row r="105" spans="1:2" ht="15.6">
      <c r="A105" s="88"/>
      <c r="B105" s="88"/>
    </row>
    <row r="106" spans="1:2" ht="15.6">
      <c r="A106" s="89" t="s">
        <v>1396</v>
      </c>
      <c r="B106" s="89" t="s">
        <v>1428</v>
      </c>
    </row>
    <row r="107" spans="1:2" ht="15.6">
      <c r="A107" s="89" t="s">
        <v>1402</v>
      </c>
      <c r="B107" s="89" t="s">
        <v>262</v>
      </c>
    </row>
    <row r="108" spans="1:2" ht="15.6">
      <c r="A108" s="89" t="s">
        <v>1406</v>
      </c>
      <c r="B108" s="90">
        <v>191000</v>
      </c>
    </row>
    <row r="109" spans="1:2" ht="15.6">
      <c r="A109" s="88"/>
      <c r="B109" s="88"/>
    </row>
    <row r="110" spans="1:2" ht="15.6">
      <c r="A110" s="89" t="s">
        <v>1431</v>
      </c>
      <c r="B110" s="89" t="s">
        <v>148</v>
      </c>
    </row>
    <row r="111" spans="1:2">
      <c r="A111" s="183" t="s">
        <v>1433</v>
      </c>
      <c r="B111" s="86" t="s">
        <v>1464</v>
      </c>
    </row>
    <row r="112" spans="1:2">
      <c r="A112" s="183"/>
      <c r="B112" s="96" t="s">
        <v>1465</v>
      </c>
    </row>
    <row r="113" spans="1:2" ht="15.6">
      <c r="A113" s="89" t="s">
        <v>1437</v>
      </c>
      <c r="B113" s="89" t="s">
        <v>338</v>
      </c>
    </row>
    <row r="114" spans="1:2" ht="15.6">
      <c r="A114" s="89" t="s">
        <v>1440</v>
      </c>
      <c r="B114" s="91">
        <v>45985</v>
      </c>
    </row>
    <row r="115" spans="1:2" ht="15.6">
      <c r="A115" s="89" t="s">
        <v>1441</v>
      </c>
      <c r="B115" s="91">
        <v>45986</v>
      </c>
    </row>
    <row r="116" spans="1:2" ht="15.6">
      <c r="A116" s="92"/>
      <c r="B116" s="92"/>
    </row>
    <row r="117" spans="1:2" ht="15.6">
      <c r="A117" s="182" t="s">
        <v>1466</v>
      </c>
      <c r="B117" s="182"/>
    </row>
    <row r="118" spans="1:2" ht="15.6">
      <c r="A118" s="89" t="s">
        <v>1396</v>
      </c>
      <c r="B118" s="89" t="s">
        <v>1397</v>
      </c>
    </row>
    <row r="119" spans="1:2" ht="15.6">
      <c r="A119" s="89" t="s">
        <v>1402</v>
      </c>
      <c r="B119" s="89" t="s">
        <v>340</v>
      </c>
    </row>
    <row r="120" spans="1:2" ht="15.6">
      <c r="A120" s="89" t="s">
        <v>1406</v>
      </c>
      <c r="B120" s="90">
        <v>1090000</v>
      </c>
    </row>
    <row r="121" spans="1:2" ht="15.6">
      <c r="A121" s="88"/>
      <c r="B121" s="88"/>
    </row>
    <row r="122" spans="1:2" ht="15.6">
      <c r="A122" s="89" t="s">
        <v>1396</v>
      </c>
      <c r="B122" s="89" t="s">
        <v>1413</v>
      </c>
    </row>
    <row r="123" spans="1:2" ht="15.6">
      <c r="A123" s="89" t="s">
        <v>1402</v>
      </c>
      <c r="B123" s="89" t="s">
        <v>339</v>
      </c>
    </row>
    <row r="124" spans="1:2" ht="15.6">
      <c r="A124" s="89" t="s">
        <v>1406</v>
      </c>
      <c r="B124" s="90">
        <v>163000</v>
      </c>
    </row>
    <row r="125" spans="1:2" ht="15.6">
      <c r="A125" s="88"/>
      <c r="B125" s="88"/>
    </row>
    <row r="126" spans="1:2" ht="15.6">
      <c r="A126" s="89" t="s">
        <v>1396</v>
      </c>
      <c r="B126" s="89" t="s">
        <v>1428</v>
      </c>
    </row>
    <row r="127" spans="1:2" ht="15.6">
      <c r="A127" s="89" t="s">
        <v>1402</v>
      </c>
      <c r="B127" s="89" t="s">
        <v>257</v>
      </c>
    </row>
    <row r="128" spans="1:2" ht="15.6">
      <c r="A128" s="89" t="s">
        <v>1406</v>
      </c>
      <c r="B128" s="90">
        <v>262000</v>
      </c>
    </row>
    <row r="129" spans="1:2" ht="15.6">
      <c r="A129" s="88"/>
      <c r="B129" s="88"/>
    </row>
    <row r="130" spans="1:2" ht="15.6">
      <c r="A130" s="89" t="s">
        <v>1396</v>
      </c>
      <c r="B130" s="89" t="s">
        <v>1428</v>
      </c>
    </row>
    <row r="131" spans="1:2" ht="15.6">
      <c r="A131" s="89" t="s">
        <v>1402</v>
      </c>
      <c r="B131" s="89" t="s">
        <v>262</v>
      </c>
    </row>
    <row r="132" spans="1:2" ht="15.6">
      <c r="A132" s="89" t="s">
        <v>1406</v>
      </c>
      <c r="B132" s="90">
        <v>191000</v>
      </c>
    </row>
    <row r="133" spans="1:2" ht="15.6">
      <c r="A133" s="88"/>
      <c r="B133" s="88"/>
    </row>
    <row r="134" spans="1:2" ht="15.6">
      <c r="A134" s="89" t="s">
        <v>1431</v>
      </c>
      <c r="B134" s="89" t="s">
        <v>148</v>
      </c>
    </row>
    <row r="135" spans="1:2">
      <c r="A135" s="183" t="s">
        <v>1433</v>
      </c>
      <c r="B135" s="86" t="s">
        <v>1467</v>
      </c>
    </row>
    <row r="136" spans="1:2">
      <c r="A136" s="183"/>
      <c r="B136" s="87" t="s">
        <v>342</v>
      </c>
    </row>
    <row r="137" spans="1:2" ht="15.6">
      <c r="A137" s="89" t="s">
        <v>1437</v>
      </c>
      <c r="B137" s="89" t="s">
        <v>1468</v>
      </c>
    </row>
    <row r="138" spans="1:2" ht="15.6">
      <c r="A138" s="89" t="s">
        <v>1440</v>
      </c>
      <c r="B138" s="91">
        <v>45987</v>
      </c>
    </row>
    <row r="139" spans="1:2" ht="15.6">
      <c r="A139" s="89" t="s">
        <v>1441</v>
      </c>
      <c r="B139" s="91">
        <v>45988</v>
      </c>
    </row>
    <row r="140" spans="1:2" ht="15.75">
      <c r="A140" s="92"/>
      <c r="B140" s="92"/>
    </row>
    <row r="141" spans="1:2" ht="15.75">
      <c r="A141" s="182" t="s">
        <v>1469</v>
      </c>
      <c r="B141" s="182"/>
    </row>
    <row r="142" spans="1:2" ht="15.75">
      <c r="A142" s="89" t="s">
        <v>1396</v>
      </c>
      <c r="B142" s="89" t="s">
        <v>1428</v>
      </c>
    </row>
    <row r="143" spans="1:2" ht="15.75">
      <c r="A143" s="89" t="s">
        <v>1402</v>
      </c>
      <c r="B143" s="89" t="s">
        <v>319</v>
      </c>
    </row>
    <row r="144" spans="1:2" ht="15.75">
      <c r="A144" s="89" t="s">
        <v>1406</v>
      </c>
      <c r="B144" s="90">
        <v>218000</v>
      </c>
    </row>
    <row r="145" spans="1:2" ht="15.75">
      <c r="A145" s="88"/>
      <c r="B145" s="88"/>
    </row>
    <row r="146" spans="1:2" ht="15.75">
      <c r="A146" s="89" t="s">
        <v>1396</v>
      </c>
      <c r="B146" s="89" t="s">
        <v>1428</v>
      </c>
    </row>
    <row r="147" spans="1:2" ht="15.75">
      <c r="A147" s="89" t="s">
        <v>1402</v>
      </c>
      <c r="B147" s="89" t="s">
        <v>318</v>
      </c>
    </row>
    <row r="148" spans="1:2" ht="15.75">
      <c r="A148" s="89" t="s">
        <v>1406</v>
      </c>
      <c r="B148" s="90">
        <v>191000</v>
      </c>
    </row>
    <row r="149" spans="1:2" ht="15.75">
      <c r="A149" s="93"/>
      <c r="B149" s="93"/>
    </row>
    <row r="150" spans="1:2" ht="15.75">
      <c r="A150" s="89" t="s">
        <v>1396</v>
      </c>
      <c r="B150" s="89" t="s">
        <v>1428</v>
      </c>
    </row>
    <row r="151" spans="1:2" ht="15.75">
      <c r="A151" s="89" t="s">
        <v>1402</v>
      </c>
      <c r="B151" s="89" t="s">
        <v>1442</v>
      </c>
    </row>
    <row r="152" spans="1:2" ht="15.75">
      <c r="A152" s="89" t="s">
        <v>1406</v>
      </c>
      <c r="B152" s="90">
        <v>160000</v>
      </c>
    </row>
    <row r="153" spans="1:2" ht="15.75">
      <c r="A153" s="93"/>
      <c r="B153" s="94"/>
    </row>
    <row r="154" spans="1:2" ht="15.75">
      <c r="A154" s="89" t="s">
        <v>1431</v>
      </c>
      <c r="B154" s="89" t="s">
        <v>148</v>
      </c>
    </row>
    <row r="155" spans="1:2" ht="15.75">
      <c r="A155" s="183" t="s">
        <v>1433</v>
      </c>
      <c r="B155" s="89" t="s">
        <v>1470</v>
      </c>
    </row>
    <row r="156" spans="1:2" ht="15">
      <c r="A156" s="183"/>
      <c r="B156" s="172" t="s">
        <v>1471</v>
      </c>
    </row>
    <row r="157" spans="1:2" ht="15.75">
      <c r="A157" s="89" t="s">
        <v>1437</v>
      </c>
      <c r="B157" s="86" t="s">
        <v>1472</v>
      </c>
    </row>
    <row r="158" spans="1:2" ht="15.75">
      <c r="A158" s="89" t="s">
        <v>1440</v>
      </c>
      <c r="B158" s="91">
        <v>45985</v>
      </c>
    </row>
    <row r="159" spans="1:2" ht="15.75">
      <c r="A159" s="89" t="s">
        <v>1441</v>
      </c>
      <c r="B159" s="91">
        <v>45987</v>
      </c>
    </row>
  </sheetData>
  <mergeCells count="16">
    <mergeCell ref="A51:A52"/>
    <mergeCell ref="A1:B1"/>
    <mergeCell ref="A19:A20"/>
    <mergeCell ref="A25:B25"/>
    <mergeCell ref="A35:A36"/>
    <mergeCell ref="A41:B41"/>
    <mergeCell ref="A141:B141"/>
    <mergeCell ref="A155:A156"/>
    <mergeCell ref="A117:B117"/>
    <mergeCell ref="A135:A136"/>
    <mergeCell ref="A57:B57"/>
    <mergeCell ref="A67:A68"/>
    <mergeCell ref="A73:B73"/>
    <mergeCell ref="A87:A88"/>
    <mergeCell ref="A93:B93"/>
    <mergeCell ref="A111:A112"/>
  </mergeCells>
  <conditionalFormatting sqref="H13">
    <cfRule type="expression" dxfId="45" priority="1">
      <formula>#REF!="CONCLUIDO"</formula>
    </cfRule>
    <cfRule type="expression" dxfId="44" priority="2">
      <formula>MID(TRIM(#REF!), LEN(TRIM(#REF!))-2, 3)="(D)"</formula>
    </cfRule>
    <cfRule type="expression" dxfId="43" priority="3">
      <formula>AND(INT(#REF!)=TODAY()+1, COUNTIF(#REF!,"CONCLUIDO*")+COUNTIF(#REF!,"CONCLUÍDO*")=0)</formula>
    </cfRule>
    <cfRule type="expression" dxfId="42" priority="4">
      <formula>AND(INT(#REF!)=TODAY(), COUNTIF(#REF!,"CONCLUIDO*")+COUNTIF(#REF!,"CONCLUÍDO*")=0)</formula>
    </cfRule>
    <cfRule type="expression" dxfId="41" priority="5">
      <formula>#REF!="RECEBIDO"</formula>
    </cfRule>
    <cfRule type="expression" dxfId="40" priority="6">
      <formula>#REF!="EM ROTA"</formula>
    </cfRule>
    <cfRule type="expression" dxfId="39" priority="7">
      <formula>#REF!="RECEBIDO (D)"</formula>
    </cfRule>
    <cfRule type="expression" dxfId="38" priority="8">
      <formula>#REF!="SUSPENSO"</formula>
    </cfRule>
    <cfRule type="expression" dxfId="37" priority="9">
      <formula>#REF!="PROGRAMADO (D)"</formula>
    </cfRule>
    <cfRule type="expression" dxfId="36" priority="10">
      <formula>#REF!="PROGRAMADO"</formula>
    </cfRule>
    <cfRule type="expression" dxfId="35" priority="11">
      <formula>#REF!="CONCLUIDO (D)"</formula>
    </cfRule>
  </conditionalFormatting>
  <conditionalFormatting sqref="H13:I13">
    <cfRule type="expression" dxfId="34" priority="12">
      <formula>#REF!="CONCLUIDO"</formula>
    </cfRule>
  </conditionalFormatting>
  <conditionalFormatting sqref="I13">
    <cfRule type="expression" dxfId="33" priority="13">
      <formula>MID(TRIM(#REF!), LEN(TRIM(#REF!))-2, 3)="(D)"</formula>
    </cfRule>
    <cfRule type="expression" dxfId="32" priority="14">
      <formula>AND(INT(#REF!)=TODAY()+1, COUNTIF(#REF!,"CONCLUIDO*")+COUNTIF(#REF!,"CONCLUÍDO*")=0)</formula>
    </cfRule>
    <cfRule type="expression" dxfId="31" priority="15">
      <formula>AND(INT(#REF!)=TODAY(), COUNTIF(#REF!,"CONCLUIDO*")+COUNTIF(#REF!,"CONCLUÍDO*")=0)</formula>
    </cfRule>
    <cfRule type="expression" dxfId="30" priority="16">
      <formula>#REF!="RECEBIDO"</formula>
    </cfRule>
    <cfRule type="expression" dxfId="29" priority="17">
      <formula>#REF!="EM ROTA"</formula>
    </cfRule>
    <cfRule type="expression" dxfId="28" priority="18">
      <formula>#REF!="RECEBIDO (D)"</formula>
    </cfRule>
    <cfRule type="expression" dxfId="27" priority="19">
      <formula>#REF!="SUSPENSO"</formula>
    </cfRule>
    <cfRule type="expression" dxfId="26" priority="20">
      <formula>#REF!="PROGRAMADO (D)"</formula>
    </cfRule>
    <cfRule type="expression" dxfId="25" priority="21">
      <formula>#REF!="PROGRAMADO"</formula>
    </cfRule>
    <cfRule type="expression" dxfId="24" priority="22">
      <formula>#REF!="CONCLUIDO (D)"</formula>
    </cfRule>
    <cfRule type="expression" dxfId="23" priority="23">
      <formula>#REF!="CONCLUIDO"</formula>
    </cfRule>
  </conditionalFormatting>
  <conditionalFormatting sqref="I11:J11">
    <cfRule type="expression" dxfId="22" priority="36">
      <formula>MID(TRIM(#REF!), LEN(TRIM(#REF!))-2, 3)="(D)"</formula>
    </cfRule>
    <cfRule type="expression" dxfId="21" priority="37">
      <formula>AND(INT(#REF!)=TODAY()+1, COUNTIF(#REF!,"CONCLUIDO*")+COUNTIF(#REF!,"CONCLUÍDO*")=0)</formula>
    </cfRule>
    <cfRule type="expression" dxfId="20" priority="38">
      <formula>AND(INT(#REF!)=TODAY(), COUNTIF(#REF!,"CONCLUIDO*")+COUNTIF(#REF!,"CONCLUÍDO*")=0)</formula>
    </cfRule>
    <cfRule type="expression" dxfId="19" priority="39">
      <formula>#REF!="RECEBIDO"</formula>
    </cfRule>
    <cfRule type="expression" dxfId="18" priority="40">
      <formula>#REF!="EM ROTA"</formula>
    </cfRule>
    <cfRule type="expression" dxfId="17" priority="41">
      <formula>#REF!="RECEBIDO (D)"</formula>
    </cfRule>
    <cfRule type="expression" dxfId="16" priority="42">
      <formula>#REF!="SUSPENSO"</formula>
    </cfRule>
    <cfRule type="expression" dxfId="15" priority="43">
      <formula>#REF!="PROGRAMADO (D)"</formula>
    </cfRule>
    <cfRule type="expression" dxfId="14" priority="44">
      <formula>#REF!="PROGRAMADO"</formula>
    </cfRule>
    <cfRule type="expression" dxfId="13" priority="45">
      <formula>#REF!="CONCLUIDO (D)"</formula>
    </cfRule>
    <cfRule type="expression" dxfId="12" priority="46">
      <formula>#REF!="CONCLUIDO"</formula>
    </cfRule>
  </conditionalFormatting>
  <conditionalFormatting sqref="I11:J12">
    <cfRule type="expression" dxfId="11" priority="35">
      <formula>#REF!="CONCLUIDO"</formula>
    </cfRule>
  </conditionalFormatting>
  <conditionalFormatting sqref="I12:J12">
    <cfRule type="expression" dxfId="10" priority="24">
      <formula>#REF!="CONCLUIDO"</formula>
    </cfRule>
    <cfRule type="expression" dxfId="9" priority="25">
      <formula>MID(TRIM(#REF!), LEN(TRIM(#REF!))-2, 3)="(D)"</formula>
    </cfRule>
    <cfRule type="expression" dxfId="8" priority="26">
      <formula>AND(INT(#REF!)=TODAY()+1, COUNTIF(#REF!,"CONCLUIDO*")+COUNTIF(#REF!,"CONCLUÍDO*")=0)</formula>
    </cfRule>
    <cfRule type="expression" dxfId="7" priority="27">
      <formula>AND(INT(#REF!)=TODAY(), COUNTIF(#REF!,"CONCLUIDO*")+COUNTIF(#REF!,"CONCLUÍDO*")=0)</formula>
    </cfRule>
    <cfRule type="expression" dxfId="6" priority="28">
      <formula>#REF!="RECEBIDO"</formula>
    </cfRule>
    <cfRule type="expression" dxfId="5" priority="29">
      <formula>#REF!="EM ROTA"</formula>
    </cfRule>
    <cfRule type="expression" dxfId="4" priority="30">
      <formula>#REF!="RECEBIDO (D)"</formula>
    </cfRule>
    <cfRule type="expression" dxfId="3" priority="31">
      <formula>#REF!="SUSPENSO"</formula>
    </cfRule>
    <cfRule type="expression" dxfId="2" priority="32">
      <formula>#REF!="PROGRAMADO (D)"</formula>
    </cfRule>
    <cfRule type="expression" dxfId="1" priority="33">
      <formula>#REF!="PROGRAMADO"</formula>
    </cfRule>
    <cfRule type="expression" dxfId="0" priority="34">
      <formula>#REF!="CONCLUIDO (D)"</formula>
    </cfRule>
  </conditionalFormatting>
  <hyperlinks>
    <hyperlink ref="B20" r:id="rId1" xr:uid="{270479AE-AF7D-4EB0-A8B0-C364E6DAFC7D}"/>
    <hyperlink ref="B52" r:id="rId2" xr:uid="{AE542D6E-46EB-4A08-938B-F020E666BA22}"/>
    <hyperlink ref="B68" r:id="rId3" xr:uid="{3F1A26FD-D5EE-433C-843E-F0C9DA957F1A}"/>
    <hyperlink ref="B88" r:id="rId4" xr:uid="{525125B8-5BC2-48AB-A1F2-B6A3980F3BB7}"/>
    <hyperlink ref="B112" r:id="rId5" xr:uid="{714AC98D-EB49-4ECE-9980-459E068016F5}"/>
    <hyperlink ref="J2" r:id="rId6" xr:uid="{33FF193F-E6D1-423F-8CEF-5EB86B310BAE}"/>
    <hyperlink ref="J7" r:id="rId7" xr:uid="{BA2035A5-F5BA-43E5-8CD9-0E3F9C612FEF}"/>
    <hyperlink ref="J8" r:id="rId8" xr:uid="{14249202-EFF9-42A5-A46D-CF2165ED01D2}"/>
    <hyperlink ref="J4" r:id="rId9" xr:uid="{AE7D8175-977E-4419-8859-2C8FAC45E2E2}"/>
    <hyperlink ref="J6" r:id="rId10" display="https://maps.app.goo.gl/tbQZRQV4a7fp35NM6" xr:uid="{A8615663-B8BD-4C60-81E8-AC36CC55A1D1}"/>
    <hyperlink ref="J3" r:id="rId11" xr:uid="{55536C9B-6968-4589-A951-68AA6CD421D6}"/>
    <hyperlink ref="J5" r:id="rId12" xr:uid="{12CEFE39-8557-4D04-BF5C-821079BECE08}"/>
    <hyperlink ref="B156" r:id="rId13" xr:uid="{16F20F72-819C-41C2-8E39-864EA61CB41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552bd7-0050-4a40-a3e9-7eed99743892" xsi:nil="true"/>
    <lcf76f155ced4ddcb4097134ff3c332f xmlns="1f9af305-95c5-4ec5-a7fe-f235b5fb43b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5C9838A8BE0240B14ECB57A7D15C1B" ma:contentTypeVersion="11" ma:contentTypeDescription="Crie um novo documento." ma:contentTypeScope="" ma:versionID="38153ec566ff0f4bf479b7a6c9088949">
  <xsd:schema xmlns:xsd="http://www.w3.org/2001/XMLSchema" xmlns:xs="http://www.w3.org/2001/XMLSchema" xmlns:p="http://schemas.microsoft.com/office/2006/metadata/properties" xmlns:ns2="1f9af305-95c5-4ec5-a7fe-f235b5fb43bb" xmlns:ns3="97552bd7-0050-4a40-a3e9-7eed99743892" targetNamespace="http://schemas.microsoft.com/office/2006/metadata/properties" ma:root="true" ma:fieldsID="05d834da23fbd08f588ccb0f92beec26" ns2:_="" ns3:_="">
    <xsd:import namespace="1f9af305-95c5-4ec5-a7fe-f235b5fb43bb"/>
    <xsd:import namespace="97552bd7-0050-4a40-a3e9-7eed99743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9af305-95c5-4ec5-a7fe-f235b5fb4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47ef80-476e-4d48-8370-c3a86979ed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552bd7-0050-4a40-a3e9-7eed997438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a7a416-64b3-4a0a-8957-7f7a7eb67c43}" ma:internalName="TaxCatchAll" ma:showField="CatchAllData" ma:web="97552bd7-0050-4a40-a3e9-7eed99743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45723BA-9722-4970-B575-35956A766521}"/>
</file>

<file path=customXml/itemProps2.xml><?xml version="1.0" encoding="utf-8"?>
<ds:datastoreItem xmlns:ds="http://schemas.openxmlformats.org/officeDocument/2006/customXml" ds:itemID="{56A1C85B-03FE-4F69-8E8A-BAA099FC8789}"/>
</file>

<file path=customXml/itemProps3.xml><?xml version="1.0" encoding="utf-8"?>
<ds:datastoreItem xmlns:ds="http://schemas.openxmlformats.org/officeDocument/2006/customXml" ds:itemID="{24994462-9DC9-439A-A812-6A6D4FF15B4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Marcela Caroline Marques</dc:creator>
  <cp:keywords/>
  <dc:description/>
  <cp:lastModifiedBy/>
  <cp:revision/>
  <dcterms:created xsi:type="dcterms:W3CDTF">2025-11-11T13:48:15Z</dcterms:created>
  <dcterms:modified xsi:type="dcterms:W3CDTF">2025-11-24T14:40:08Z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0x010100165C9838A8BE0240B14ECB57A7D15C1B</vt:lpwstr>
  </property>
  <property fmtid="{D5CDD505-2E9C-101B-9397-08002B2CF9AE}" pid="3" name="MediaServiceImageTags">
    <vt:lpwstr/>
  </property>
</Properties>
</file>