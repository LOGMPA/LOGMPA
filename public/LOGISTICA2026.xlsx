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\Downloads\"/>
    </mc:Choice>
  </mc:AlternateContent>
  <xr:revisionPtr revIDLastSave="0" documentId="13_ncr:1_{0B28205E-9002-481F-BDBE-3288616CC6BD}" xr6:coauthVersionLast="47" xr6:coauthVersionMax="47" xr10:uidLastSave="{00000000-0000-0000-0000-000000000000}"/>
  <bookViews>
    <workbookView xWindow="-108" yWindow="-108" windowWidth="23256" windowHeight="12456" tabRatio="644" activeTab="1" xr2:uid="{79B5BA07-D2C6-4A71-9E5E-B065B1438F00}"/>
  </bookViews>
  <sheets>
    <sheet name="CUSTOS" sheetId="14" r:id="rId1"/>
    <sheet name="FRETE MÁQUINAS" sheetId="4" r:id="rId2"/>
    <sheet name="PEDIDO COMPRA" sheetId="7" r:id="rId3"/>
    <sheet name="FRETE PEÇAS" sheetId="6" r:id="rId4"/>
    <sheet name="UTIL" sheetId="10" r:id="rId5"/>
    <sheet name="DEMO NOV" sheetId="12" r:id="rId6"/>
    <sheet name="VW DAF" sheetId="9" r:id="rId7"/>
  </sheets>
  <definedNames>
    <definedName name="_xlnm._FilterDatabase" localSheetId="1" hidden="1">'FRETE MÁQUINAS'!$A$1:$Q$1</definedName>
    <definedName name="_xlnm._FilterDatabase" localSheetId="4" hidden="1">UTIL!$N$1:$S$207</definedName>
  </definedName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6" i="14" l="1"/>
  <c r="B91" i="14" s="1"/>
  <c r="G87" i="14"/>
  <c r="B92" i="14" s="1"/>
  <c r="F87" i="14"/>
  <c r="F86" i="14"/>
  <c r="C13" i="14"/>
  <c r="D13" i="14"/>
  <c r="E13" i="14"/>
  <c r="F13" i="14"/>
  <c r="G13" i="14"/>
  <c r="B13" i="14"/>
  <c r="L89" i="7"/>
  <c r="L91" i="7"/>
  <c r="L90" i="7"/>
  <c r="L93" i="7"/>
  <c r="L94" i="7"/>
  <c r="L95" i="7"/>
  <c r="L96" i="7"/>
  <c r="L97" i="7"/>
  <c r="L98" i="7"/>
  <c r="L99" i="7"/>
  <c r="L100" i="7"/>
  <c r="L101" i="7"/>
  <c r="L102" i="7"/>
  <c r="C35" i="4"/>
  <c r="E71" i="4"/>
  <c r="T90" i="4"/>
  <c r="T89" i="4"/>
  <c r="T88" i="4"/>
  <c r="U88" i="4" s="1" a="1"/>
  <c r="U88" i="4" s="1"/>
  <c r="T87" i="4"/>
  <c r="U87" i="4" s="1" a="1"/>
  <c r="U87" i="4" s="1"/>
  <c r="C57" i="4"/>
  <c r="C58" i="4"/>
  <c r="C59" i="4"/>
  <c r="C66" i="4"/>
  <c r="C60" i="4"/>
  <c r="E66" i="4"/>
  <c r="E65" i="4"/>
  <c r="C65" i="4"/>
  <c r="C40" i="4"/>
  <c r="C34" i="4"/>
  <c r="C2" i="4"/>
  <c r="C7" i="4"/>
  <c r="L71" i="7"/>
  <c r="L74" i="7"/>
  <c r="L9" i="7"/>
  <c r="L31" i="7"/>
  <c r="L32" i="7"/>
  <c r="L59" i="7"/>
  <c r="L18" i="7"/>
  <c r="L23" i="7"/>
  <c r="L22" i="7"/>
  <c r="L24" i="7"/>
  <c r="L20" i="7"/>
  <c r="L19" i="7"/>
  <c r="L21" i="7"/>
  <c r="L30" i="7"/>
  <c r="L10" i="7"/>
  <c r="L11" i="7"/>
  <c r="L25" i="7"/>
  <c r="L27" i="7"/>
  <c r="L37" i="7"/>
  <c r="L35" i="7"/>
  <c r="L38" i="7"/>
  <c r="L36" i="7"/>
  <c r="L12" i="7"/>
  <c r="L26" i="7"/>
  <c r="L33" i="7"/>
  <c r="L40" i="7"/>
  <c r="L13" i="7"/>
  <c r="L14" i="7"/>
  <c r="L15" i="7"/>
  <c r="L28" i="7"/>
  <c r="L16" i="7"/>
  <c r="L17" i="7"/>
  <c r="L48" i="7"/>
  <c r="L49" i="7"/>
  <c r="L29" i="7"/>
  <c r="L41" i="7"/>
  <c r="L42" i="7"/>
  <c r="L44" i="7"/>
  <c r="L51" i="7"/>
  <c r="L50" i="7"/>
  <c r="L61" i="7"/>
  <c r="L45" i="7"/>
  <c r="L46" i="7"/>
  <c r="L47" i="7"/>
  <c r="L52" i="7"/>
  <c r="L53" i="7"/>
  <c r="L54" i="7"/>
  <c r="L55" i="7"/>
  <c r="L56" i="7"/>
  <c r="L57" i="7"/>
  <c r="L58" i="7"/>
  <c r="L63" i="7"/>
  <c r="L81" i="7"/>
  <c r="L6" i="7"/>
  <c r="L39" i="7"/>
  <c r="L62" i="7"/>
  <c r="L64" i="7"/>
  <c r="L65" i="7"/>
  <c r="L66" i="7"/>
  <c r="L67" i="7"/>
  <c r="L72" i="7"/>
  <c r="L76" i="7"/>
  <c r="L70" i="7"/>
  <c r="L75" i="7"/>
  <c r="L82" i="7"/>
  <c r="L68" i="7"/>
  <c r="L69" i="7"/>
  <c r="L83" i="7"/>
  <c r="L84" i="7"/>
  <c r="L85" i="7"/>
  <c r="L7" i="7"/>
  <c r="L8" i="7"/>
  <c r="L34" i="7"/>
  <c r="L43" i="7"/>
  <c r="L60" i="7"/>
  <c r="L77" i="7"/>
  <c r="L3" i="7"/>
  <c r="L4" i="7"/>
  <c r="L5" i="7"/>
  <c r="L87" i="7"/>
  <c r="L86" i="7"/>
  <c r="L73" i="7"/>
  <c r="L88" i="7"/>
  <c r="L2" i="7"/>
  <c r="L78" i="7"/>
  <c r="L79" i="7"/>
  <c r="L92" i="7"/>
  <c r="L80" i="7"/>
  <c r="E45" i="4"/>
  <c r="E44" i="4"/>
  <c r="E88" i="4"/>
  <c r="E87" i="4"/>
  <c r="T55" i="4"/>
  <c r="T56" i="4"/>
  <c r="T57" i="4"/>
  <c r="T58" i="4"/>
  <c r="T59" i="4"/>
  <c r="T60" i="4"/>
  <c r="T61" i="4"/>
  <c r="T62" i="4"/>
  <c r="T63" i="4"/>
  <c r="T64" i="4"/>
  <c r="T65" i="4"/>
  <c r="T66" i="4"/>
  <c r="U66" i="4" s="1" a="1"/>
  <c r="U66" i="4" s="1"/>
  <c r="T67" i="4"/>
  <c r="U67" i="4" s="1" a="1"/>
  <c r="U67" i="4" s="1"/>
  <c r="T68" i="4"/>
  <c r="U68" i="4" s="1" a="1"/>
  <c r="U68" i="4" s="1"/>
  <c r="T69" i="4"/>
  <c r="U69" i="4" s="1" a="1"/>
  <c r="U69" i="4" s="1"/>
  <c r="T70" i="4"/>
  <c r="U70" i="4" s="1" a="1"/>
  <c r="U70" i="4" s="1"/>
  <c r="T71" i="4"/>
  <c r="T72" i="4"/>
  <c r="U72" i="4" s="1" a="1"/>
  <c r="U72" i="4" s="1"/>
  <c r="T73" i="4"/>
  <c r="T74" i="4"/>
  <c r="U74" i="4" s="1" a="1"/>
  <c r="U74" i="4" s="1"/>
  <c r="T75" i="4"/>
  <c r="U75" i="4" s="1" a="1"/>
  <c r="U75" i="4" s="1"/>
  <c r="T76" i="4"/>
  <c r="U76" i="4" s="1" a="1"/>
  <c r="U76" i="4" s="1"/>
  <c r="T77" i="4"/>
  <c r="T78" i="4"/>
  <c r="T79" i="4"/>
  <c r="T80" i="4"/>
  <c r="T81" i="4"/>
  <c r="T82" i="4"/>
  <c r="T83" i="4"/>
  <c r="T84" i="4"/>
  <c r="T85" i="4"/>
  <c r="T86" i="4"/>
  <c r="E76" i="4"/>
  <c r="C76" i="4"/>
  <c r="E75" i="4"/>
  <c r="C75" i="4"/>
  <c r="E74" i="4"/>
  <c r="C74" i="4"/>
  <c r="E72" i="4"/>
  <c r="C72" i="4"/>
  <c r="E73" i="4"/>
  <c r="C73" i="4"/>
  <c r="C45" i="4"/>
  <c r="C44" i="4"/>
  <c r="C49" i="4"/>
  <c r="C50" i="4"/>
  <c r="N118" i="10"/>
  <c r="E66" i="7" s="1"/>
  <c r="N204" i="10"/>
  <c r="N205" i="10"/>
  <c r="N206" i="10"/>
  <c r="N207" i="10"/>
  <c r="C38" i="4"/>
  <c r="E82" i="4"/>
  <c r="E81" i="4"/>
  <c r="E78" i="4"/>
  <c r="E77" i="4"/>
  <c r="E69" i="4"/>
  <c r="E68" i="4"/>
  <c r="E67" i="4"/>
  <c r="E70" i="4"/>
  <c r="E41" i="4"/>
  <c r="E40" i="4"/>
  <c r="C82" i="4"/>
  <c r="C81" i="4"/>
  <c r="C83" i="4"/>
  <c r="C84" i="4"/>
  <c r="C78" i="4"/>
  <c r="C77" i="4"/>
  <c r="C79" i="4"/>
  <c r="C80" i="4"/>
  <c r="C69" i="4"/>
  <c r="C68" i="4"/>
  <c r="C67" i="4"/>
  <c r="C70" i="4"/>
  <c r="C71" i="4"/>
  <c r="C85" i="4"/>
  <c r="C86" i="4"/>
  <c r="C41" i="4"/>
  <c r="C42" i="4"/>
  <c r="C43" i="4"/>
  <c r="T54" i="4"/>
  <c r="E31" i="4"/>
  <c r="C31" i="4"/>
  <c r="C39" i="4"/>
  <c r="T53" i="4"/>
  <c r="C48" i="4"/>
  <c r="E46" i="4"/>
  <c r="C46" i="4"/>
  <c r="T50" i="4"/>
  <c r="T51" i="4"/>
  <c r="T52" i="4"/>
  <c r="T39" i="4"/>
  <c r="T40" i="4"/>
  <c r="U40" i="4" s="1" a="1"/>
  <c r="U40" i="4" s="1"/>
  <c r="T41" i="4"/>
  <c r="U41" i="4" s="1" a="1"/>
  <c r="U41" i="4" s="1"/>
  <c r="T42" i="4"/>
  <c r="T43" i="4"/>
  <c r="T44" i="4"/>
  <c r="U44" i="4" s="1" a="1"/>
  <c r="U44" i="4" s="1"/>
  <c r="T45" i="4"/>
  <c r="U45" i="4" s="1" a="1"/>
  <c r="U45" i="4" s="1"/>
  <c r="T46" i="4"/>
  <c r="U46" i="4" s="1" a="1"/>
  <c r="U46" i="4" s="1"/>
  <c r="T47" i="4"/>
  <c r="T48" i="4"/>
  <c r="T49" i="4"/>
  <c r="C55" i="4"/>
  <c r="C51" i="4"/>
  <c r="C30" i="4"/>
  <c r="E30" i="4"/>
  <c r="C53" i="4"/>
  <c r="C56" i="4"/>
  <c r="C54" i="4"/>
  <c r="C52" i="4"/>
  <c r="C36" i="4"/>
  <c r="C37" i="4"/>
  <c r="T34" i="4"/>
  <c r="U34" i="4" s="1" a="1"/>
  <c r="U34" i="4" s="1"/>
  <c r="T35" i="4"/>
  <c r="U35" i="4" s="1" a="1"/>
  <c r="U35" i="4" s="1"/>
  <c r="T36" i="4"/>
  <c r="T37" i="4"/>
  <c r="T38" i="4"/>
  <c r="C6" i="4"/>
  <c r="C5" i="4"/>
  <c r="C3" i="4"/>
  <c r="C8" i="4"/>
  <c r="C11" i="4"/>
  <c r="C10" i="4"/>
  <c r="C9" i="4"/>
  <c r="C15" i="4"/>
  <c r="C14" i="4"/>
  <c r="C12" i="4"/>
  <c r="C13" i="4"/>
  <c r="C17" i="4"/>
  <c r="C16" i="4"/>
  <c r="C18" i="4"/>
  <c r="C21" i="4"/>
  <c r="C20" i="4"/>
  <c r="C19" i="4"/>
  <c r="C28" i="4"/>
  <c r="C27" i="4"/>
  <c r="C25" i="4"/>
  <c r="C22" i="4"/>
  <c r="C24" i="4"/>
  <c r="C23" i="4"/>
  <c r="C26" i="4"/>
  <c r="C32" i="4"/>
  <c r="C33" i="4"/>
  <c r="C88" i="4"/>
  <c r="C87" i="4"/>
  <c r="C47" i="4"/>
  <c r="C64" i="4"/>
  <c r="C63" i="4"/>
  <c r="C90" i="4"/>
  <c r="C89" i="4"/>
  <c r="C62" i="4"/>
  <c r="C61" i="4"/>
  <c r="C29" i="4"/>
  <c r="C4" i="4"/>
  <c r="E29" i="4"/>
  <c r="E10" i="4"/>
  <c r="E9" i="4"/>
  <c r="E12" i="4"/>
  <c r="E13" i="4"/>
  <c r="E18" i="4"/>
  <c r="E20" i="4"/>
  <c r="E19" i="4"/>
  <c r="E25" i="4"/>
  <c r="E22" i="4"/>
  <c r="E24" i="4"/>
  <c r="E23" i="4"/>
  <c r="E32" i="4"/>
  <c r="E33" i="4"/>
  <c r="E62" i="4"/>
  <c r="E61" i="4"/>
  <c r="T21" i="4"/>
  <c r="T22" i="4"/>
  <c r="T23" i="4"/>
  <c r="T24" i="4"/>
  <c r="U24" i="4" s="1" a="1"/>
  <c r="U24" i="4" s="1"/>
  <c r="T25" i="4"/>
  <c r="U25" i="4" s="1" a="1"/>
  <c r="U25" i="4" s="1"/>
  <c r="T26" i="4"/>
  <c r="U26" i="4" s="1" a="1"/>
  <c r="U26" i="4" s="1"/>
  <c r="T27" i="4"/>
  <c r="U27" i="4" s="1" a="1"/>
  <c r="U27" i="4" s="1"/>
  <c r="T28" i="4"/>
  <c r="U28" i="4" s="1" a="1"/>
  <c r="U28" i="4" s="1"/>
  <c r="T29" i="4"/>
  <c r="U29" i="4" s="1" a="1"/>
  <c r="U29" i="4" s="1"/>
  <c r="T30" i="4"/>
  <c r="U30" i="4" s="1" a="1"/>
  <c r="U30" i="4" s="1"/>
  <c r="T32" i="4"/>
  <c r="U32" i="4" s="1" a="1"/>
  <c r="U32" i="4" s="1"/>
  <c r="T33" i="4"/>
  <c r="U33" i="4" s="1" a="1"/>
  <c r="U33" i="4" s="1"/>
  <c r="T3" i="4"/>
  <c r="T4" i="4"/>
  <c r="T5" i="4"/>
  <c r="U5" i="4" s="1" a="1"/>
  <c r="U5" i="4" s="1"/>
  <c r="T6" i="4"/>
  <c r="T7" i="4"/>
  <c r="T8" i="4"/>
  <c r="U8" i="4" s="1" a="1"/>
  <c r="U8" i="4" s="1"/>
  <c r="T9" i="4"/>
  <c r="T10" i="4"/>
  <c r="U10" i="4" s="1" a="1"/>
  <c r="U10" i="4" s="1"/>
  <c r="T11" i="4"/>
  <c r="T12" i="4"/>
  <c r="T13" i="4"/>
  <c r="U13" i="4" s="1" a="1"/>
  <c r="U13" i="4" s="1"/>
  <c r="T14" i="4"/>
  <c r="U14" i="4" s="1" a="1"/>
  <c r="U14" i="4" s="1"/>
  <c r="T15" i="4"/>
  <c r="U15" i="4" s="1" a="1"/>
  <c r="U15" i="4" s="1"/>
  <c r="T16" i="4"/>
  <c r="T17" i="4"/>
  <c r="T18" i="4"/>
  <c r="U18" i="4" s="1" a="1"/>
  <c r="U18" i="4" s="1"/>
  <c r="T19" i="4"/>
  <c r="U19" i="4" s="1" a="1"/>
  <c r="U19" i="4" s="1"/>
  <c r="T20" i="4"/>
  <c r="U20" i="4" s="1" a="1"/>
  <c r="U20" i="4" s="1"/>
  <c r="T2" i="4"/>
  <c r="U2" i="4" s="1" a="1"/>
  <c r="U2" i="4" s="1"/>
  <c r="N89" i="10"/>
  <c r="E67" i="7" s="1"/>
  <c r="N42" i="10"/>
  <c r="N107" i="10"/>
  <c r="N41" i="10"/>
  <c r="N87" i="10"/>
  <c r="N94" i="10"/>
  <c r="N146" i="10"/>
  <c r="N53" i="10"/>
  <c r="N52" i="10"/>
  <c r="N181" i="10"/>
  <c r="N143" i="10"/>
  <c r="N124" i="10"/>
  <c r="E85" i="7" s="1"/>
  <c r="N125" i="10"/>
  <c r="N144" i="10"/>
  <c r="N142" i="10"/>
  <c r="E81" i="7" s="1"/>
  <c r="N151" i="10"/>
  <c r="N54" i="10"/>
  <c r="E59" i="7" s="1"/>
  <c r="N137" i="10"/>
  <c r="N115" i="10"/>
  <c r="N173" i="10"/>
  <c r="N172" i="10"/>
  <c r="N171" i="10"/>
  <c r="N170" i="10"/>
  <c r="N169" i="10"/>
  <c r="N168" i="10"/>
  <c r="N167" i="10"/>
  <c r="N166" i="10"/>
  <c r="N165" i="10"/>
  <c r="N164" i="10"/>
  <c r="N163" i="10"/>
  <c r="N158" i="10"/>
  <c r="N135" i="10"/>
  <c r="N44" i="10"/>
  <c r="N82" i="10"/>
  <c r="N69" i="10"/>
  <c r="N64" i="10"/>
  <c r="E82" i="7" s="1"/>
  <c r="N60" i="10"/>
  <c r="N203" i="10"/>
  <c r="N202" i="10"/>
  <c r="N201" i="10"/>
  <c r="N200" i="10"/>
  <c r="N92" i="10"/>
  <c r="N93" i="10"/>
  <c r="N67" i="10"/>
  <c r="N62" i="10"/>
  <c r="N24" i="10"/>
  <c r="N149" i="10"/>
  <c r="N141" i="10"/>
  <c r="N63" i="10"/>
  <c r="N121" i="10"/>
  <c r="N51" i="10"/>
  <c r="N50" i="10"/>
  <c r="N49" i="10"/>
  <c r="N48" i="10"/>
  <c r="N123" i="10"/>
  <c r="N96" i="10"/>
  <c r="N110" i="10"/>
  <c r="N58" i="10"/>
  <c r="N84" i="10"/>
  <c r="N134" i="10"/>
  <c r="N162" i="10"/>
  <c r="N130" i="10"/>
  <c r="N108" i="10"/>
  <c r="N112" i="10"/>
  <c r="N79" i="10"/>
  <c r="N128" i="10"/>
  <c r="N136" i="10"/>
  <c r="N106" i="10"/>
  <c r="N105" i="10"/>
  <c r="N55" i="10"/>
  <c r="E30" i="7" s="1"/>
  <c r="N131" i="10"/>
  <c r="N72" i="10"/>
  <c r="N71" i="10"/>
  <c r="N70" i="10"/>
  <c r="N175" i="10"/>
  <c r="N174" i="10"/>
  <c r="N150" i="10"/>
  <c r="E64" i="7" s="1"/>
  <c r="N180" i="10"/>
  <c r="N179" i="10"/>
  <c r="N178" i="10"/>
  <c r="N140" i="10"/>
  <c r="N139" i="10"/>
  <c r="N132" i="10"/>
  <c r="E62" i="7" s="1"/>
  <c r="N95" i="10"/>
  <c r="N91" i="10"/>
  <c r="N40" i="10"/>
  <c r="N11" i="10"/>
  <c r="N38" i="10"/>
  <c r="N37" i="10"/>
  <c r="N36" i="10"/>
  <c r="N39" i="10"/>
  <c r="E40" i="7" s="1"/>
  <c r="N35" i="10"/>
  <c r="N17" i="10"/>
  <c r="N34" i="10"/>
  <c r="N33" i="10"/>
  <c r="N32" i="10"/>
  <c r="N31" i="10"/>
  <c r="N30" i="10"/>
  <c r="N29" i="10"/>
  <c r="N28" i="10"/>
  <c r="N26" i="10"/>
  <c r="E61" i="7" s="1"/>
  <c r="N25" i="10"/>
  <c r="N23" i="10"/>
  <c r="N22" i="10"/>
  <c r="E27" i="7" s="1"/>
  <c r="N21" i="10"/>
  <c r="N20" i="10"/>
  <c r="N10" i="10"/>
  <c r="N119" i="10"/>
  <c r="N19" i="10"/>
  <c r="N18" i="10"/>
  <c r="N16" i="10"/>
  <c r="N15" i="10"/>
  <c r="N14" i="10"/>
  <c r="N13" i="10"/>
  <c r="N12" i="10"/>
  <c r="N9" i="10"/>
  <c r="N8" i="10"/>
  <c r="N7" i="10"/>
  <c r="N6" i="10"/>
  <c r="N5" i="10"/>
  <c r="N4" i="10"/>
  <c r="N3" i="10"/>
  <c r="E63" i="7" s="1"/>
  <c r="N27" i="10"/>
  <c r="N2" i="10"/>
  <c r="N66" i="10"/>
  <c r="N127" i="10"/>
  <c r="E77" i="7" s="1"/>
  <c r="N122" i="10"/>
  <c r="N157" i="10"/>
  <c r="N59" i="10"/>
  <c r="N78" i="10"/>
  <c r="N138" i="10"/>
  <c r="E25" i="7" s="1"/>
  <c r="N57" i="10"/>
  <c r="N83" i="10"/>
  <c r="N104" i="10"/>
  <c r="N120" i="10"/>
  <c r="N133" i="10"/>
  <c r="N117" i="10"/>
  <c r="N88" i="10"/>
  <c r="N90" i="10"/>
  <c r="N197" i="10"/>
  <c r="N109" i="10"/>
  <c r="N47" i="10"/>
  <c r="N199" i="10"/>
  <c r="N68" i="10"/>
  <c r="N159" i="10"/>
  <c r="N160" i="10"/>
  <c r="N113" i="10"/>
  <c r="N114" i="10"/>
  <c r="N147" i="10"/>
  <c r="N177" i="10"/>
  <c r="N176" i="10"/>
  <c r="N156" i="10"/>
  <c r="N145" i="10"/>
  <c r="N111" i="10"/>
  <c r="N198" i="10"/>
  <c r="N80" i="10"/>
  <c r="N196" i="10"/>
  <c r="N61" i="10"/>
  <c r="N148" i="10"/>
  <c r="N103" i="10"/>
  <c r="N81" i="10"/>
  <c r="N56" i="10"/>
  <c r="N46" i="10"/>
  <c r="N116" i="10"/>
  <c r="N85" i="10"/>
  <c r="N86" i="10"/>
  <c r="N152" i="10"/>
  <c r="N43" i="10"/>
  <c r="N65" i="10"/>
  <c r="N155" i="10"/>
  <c r="N161" i="10"/>
  <c r="N153" i="10"/>
  <c r="N129" i="10"/>
  <c r="N102" i="10"/>
  <c r="N101" i="10"/>
  <c r="N100" i="10"/>
  <c r="N99" i="10"/>
  <c r="N98" i="10"/>
  <c r="N97" i="10"/>
  <c r="N45" i="10"/>
  <c r="N77" i="10"/>
  <c r="N76" i="10"/>
  <c r="N75" i="10"/>
  <c r="N74" i="10"/>
  <c r="N73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26" i="10"/>
  <c r="N154" i="10"/>
  <c r="N18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2" i="10"/>
  <c r="E93" i="7" l="1"/>
  <c r="E94" i="7"/>
  <c r="E95" i="7"/>
  <c r="E96" i="7"/>
  <c r="E97" i="7"/>
  <c r="E98" i="7"/>
  <c r="E99" i="7"/>
  <c r="E100" i="7"/>
  <c r="E101" i="7"/>
  <c r="E102" i="7"/>
  <c r="E89" i="7"/>
  <c r="E91" i="7"/>
  <c r="E90" i="7"/>
  <c r="U37" i="4" a="1"/>
  <c r="U37" i="4" s="1"/>
  <c r="U48" i="4" a="1"/>
  <c r="U48" i="4" s="1"/>
  <c r="U39" i="4" a="1"/>
  <c r="U39" i="4" s="1"/>
  <c r="U83" i="4" a="1"/>
  <c r="U83" i="4" s="1"/>
  <c r="U80" i="4" a="1"/>
  <c r="U80" i="4" s="1"/>
  <c r="U36" i="4" a="1"/>
  <c r="U36" i="4" s="1"/>
  <c r="U79" i="4" a="1"/>
  <c r="U79" i="4" s="1"/>
  <c r="U38" i="4" a="1"/>
  <c r="U38" i="4" s="1"/>
  <c r="U84" i="4" a="1"/>
  <c r="U84" i="4" s="1"/>
  <c r="U73" i="4" a="1"/>
  <c r="U73" i="4" s="1"/>
  <c r="U65" i="4" a="1"/>
  <c r="U65" i="4" s="1"/>
  <c r="U60" i="4" a="1"/>
  <c r="U60" i="4" s="1"/>
  <c r="U59" i="4" a="1"/>
  <c r="U59" i="4" s="1"/>
  <c r="U89" i="4" a="1"/>
  <c r="U89" i="4" s="1"/>
  <c r="U90" i="4" a="1"/>
  <c r="U90" i="4" s="1"/>
  <c r="U53" i="4" a="1"/>
  <c r="U53" i="4" s="1"/>
  <c r="U52" i="4" a="1"/>
  <c r="U52" i="4" s="1"/>
  <c r="U78" i="4" a="1"/>
  <c r="U78" i="4" s="1"/>
  <c r="U12" i="4" a="1"/>
  <c r="U12" i="4" s="1"/>
  <c r="U47" i="4" a="1"/>
  <c r="U47" i="4" s="1"/>
  <c r="U85" i="4" a="1"/>
  <c r="U85" i="4" s="1"/>
  <c r="U77" i="4" a="1"/>
  <c r="U77" i="4" s="1"/>
  <c r="U51" i="4" a="1"/>
  <c r="U51" i="4" s="1"/>
  <c r="U50" i="4" a="1"/>
  <c r="U50" i="4" s="1"/>
  <c r="U82" i="4" a="1"/>
  <c r="U82" i="4" s="1"/>
  <c r="U43" i="4" a="1"/>
  <c r="U43" i="4" s="1"/>
  <c r="U81" i="4" a="1"/>
  <c r="U81" i="4" s="1"/>
  <c r="U7" i="4" a="1"/>
  <c r="U7" i="4" s="1"/>
  <c r="U42" i="4" a="1"/>
  <c r="U42" i="4" s="1"/>
  <c r="U9" i="4" a="1"/>
  <c r="U9" i="4" s="1"/>
  <c r="U6" i="4" a="1"/>
  <c r="U6" i="4" s="1"/>
  <c r="U49" i="4" a="1"/>
  <c r="U49" i="4" s="1"/>
  <c r="U71" i="4" a="1"/>
  <c r="U71" i="4" s="1"/>
  <c r="U21" i="4" a="1"/>
  <c r="U21" i="4" s="1"/>
  <c r="E70" i="7"/>
  <c r="E68" i="7"/>
  <c r="E69" i="7"/>
  <c r="E75" i="7"/>
  <c r="E65" i="7"/>
  <c r="E45" i="7"/>
  <c r="E47" i="7"/>
  <c r="E46" i="7"/>
  <c r="E58" i="7"/>
  <c r="E56" i="7"/>
  <c r="E55" i="7"/>
  <c r="E53" i="7"/>
  <c r="E57" i="7"/>
  <c r="E54" i="7"/>
  <c r="E52" i="7"/>
  <c r="U86" i="4" a="1"/>
  <c r="U86" i="4" s="1"/>
  <c r="E9" i="7"/>
  <c r="E7" i="7"/>
  <c r="E8" i="7"/>
  <c r="E34" i="7"/>
  <c r="E43" i="7"/>
  <c r="E60" i="7"/>
  <c r="E76" i="7"/>
  <c r="E72" i="7"/>
  <c r="E83" i="7"/>
  <c r="E84" i="7"/>
  <c r="U61" i="4" a="1"/>
  <c r="U61" i="4" s="1"/>
  <c r="U64" i="4" a="1"/>
  <c r="U64" i="4" s="1"/>
  <c r="U62" i="4" a="1"/>
  <c r="U62" i="4" s="1"/>
  <c r="U63" i="4" a="1"/>
  <c r="U63" i="4" s="1"/>
  <c r="U54" i="4" a="1"/>
  <c r="U54" i="4" s="1"/>
  <c r="E71" i="7"/>
  <c r="E74" i="7"/>
  <c r="E3" i="7"/>
  <c r="E4" i="7"/>
  <c r="E5" i="7"/>
  <c r="U57" i="4" a="1"/>
  <c r="U57" i="4" s="1"/>
  <c r="U55" i="4" a="1"/>
  <c r="U55" i="4" s="1"/>
  <c r="U23" i="4" a="1"/>
  <c r="U23" i="4" s="1"/>
  <c r="E80" i="7"/>
  <c r="E87" i="7"/>
  <c r="E86" i="7"/>
  <c r="E73" i="7"/>
  <c r="E88" i="7"/>
  <c r="E2" i="7"/>
  <c r="E78" i="7"/>
  <c r="E79" i="7"/>
  <c r="E92" i="7"/>
  <c r="U56" i="4" a="1"/>
  <c r="U56" i="4" s="1"/>
  <c r="U58" i="4" a="1"/>
  <c r="U58" i="4" s="1"/>
  <c r="E48" i="7"/>
  <c r="E49" i="7"/>
  <c r="E39" i="7"/>
  <c r="E51" i="7"/>
  <c r="E41" i="7"/>
  <c r="E42" i="7"/>
  <c r="E36" i="7"/>
  <c r="E35" i="7"/>
  <c r="E29" i="7"/>
  <c r="E44" i="7"/>
  <c r="E50" i="7"/>
  <c r="E26" i="7"/>
  <c r="E33" i="7"/>
  <c r="E6" i="7"/>
  <c r="E38" i="7"/>
  <c r="E37" i="7"/>
  <c r="E19" i="7"/>
  <c r="E20" i="7"/>
  <c r="E21" i="7"/>
  <c r="E22" i="7"/>
  <c r="E23" i="7"/>
  <c r="E24" i="7"/>
  <c r="E18" i="7"/>
  <c r="E10" i="7"/>
  <c r="E17" i="7"/>
  <c r="E28" i="7"/>
  <c r="E11" i="7"/>
  <c r="E12" i="7"/>
  <c r="E13" i="7"/>
  <c r="E14" i="7"/>
  <c r="E15" i="7"/>
  <c r="E16" i="7"/>
  <c r="E31" i="7"/>
  <c r="E32" i="7"/>
  <c r="U22" i="4" a="1"/>
  <c r="U22" i="4" s="1"/>
  <c r="U16" i="4" a="1"/>
  <c r="U16" i="4" s="1"/>
  <c r="U4" i="4" a="1"/>
  <c r="U4" i="4" s="1"/>
  <c r="U3" i="4" a="1"/>
  <c r="U3" i="4" s="1"/>
  <c r="U17" i="4" a="1"/>
  <c r="U17" i="4" s="1"/>
  <c r="U11" i="4" a="1"/>
  <c r="U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<sst xmlns="http://schemas.openxmlformats.org/spreadsheetml/2006/main" count="3796" uniqueCount="1422">
  <si>
    <t>OUTUBRO - 2025</t>
  </si>
  <si>
    <t>PREV</t>
  </si>
  <si>
    <t>(Tudo)</t>
  </si>
  <si>
    <t>.</t>
  </si>
  <si>
    <t>Valores</t>
  </si>
  <si>
    <t>CARRETA</t>
  </si>
  <si>
    <t>COLHEITADEIRA</t>
  </si>
  <si>
    <t>PLANTADEIRA</t>
  </si>
  <si>
    <t>PLATAFORMA</t>
  </si>
  <si>
    <t>PULVERIZADOR</t>
  </si>
  <si>
    <t>TRATOR</t>
  </si>
  <si>
    <t>Media Proprio</t>
  </si>
  <si>
    <t>Media Terceiro</t>
  </si>
  <si>
    <t>Qtd Proprio</t>
  </si>
  <si>
    <t>Qtd Terceiro</t>
  </si>
  <si>
    <t>G01</t>
  </si>
  <si>
    <t>Meta Frete 2026</t>
  </si>
  <si>
    <t>Média (P+T)</t>
  </si>
  <si>
    <t>G02</t>
  </si>
  <si>
    <t>Rótulos de Linha</t>
  </si>
  <si>
    <t>Soma Proprio</t>
  </si>
  <si>
    <t>Soma Terceiro</t>
  </si>
  <si>
    <t>Qtd Frete</t>
  </si>
  <si>
    <t>G03</t>
  </si>
  <si>
    <t>TERCEIRO</t>
  </si>
  <si>
    <t>Valor Total</t>
  </si>
  <si>
    <t>Total KM</t>
  </si>
  <si>
    <t>TERCEIRO MAZETTO</t>
  </si>
  <si>
    <t>TERCEIRO COLOMBO</t>
  </si>
  <si>
    <t>TERCEIRO AGROMAQ</t>
  </si>
  <si>
    <t>TERCEIRO ZORTEA</t>
  </si>
  <si>
    <t>TERCEIRO DEMETRIO</t>
  </si>
  <si>
    <t>TERCEIRO NELSON</t>
  </si>
  <si>
    <t>TERCEIRO JAPONES</t>
  </si>
  <si>
    <t>TERCEIRO STOSKI</t>
  </si>
  <si>
    <t>DATA</t>
  </si>
  <si>
    <t>TIPO</t>
  </si>
  <si>
    <t>Munck</t>
  </si>
  <si>
    <t>Frete Peças M</t>
  </si>
  <si>
    <t>Frete Peças T</t>
  </si>
  <si>
    <t>G04</t>
  </si>
  <si>
    <t>G05</t>
  </si>
  <si>
    <t>G06</t>
  </si>
  <si>
    <t>MUNCK</t>
  </si>
  <si>
    <t>R$</t>
  </si>
  <si>
    <t>MOTOBOY</t>
  </si>
  <si>
    <t>TRANSPORTADORA</t>
  </si>
  <si>
    <t>ARAPOTI</t>
  </si>
  <si>
    <t>PG</t>
  </si>
  <si>
    <t>IRATI</t>
  </si>
  <si>
    <t>CASTRO</t>
  </si>
  <si>
    <t>GRPVA</t>
  </si>
  <si>
    <t>TIBAGI</t>
  </si>
  <si>
    <t>Total Geral</t>
  </si>
  <si>
    <t>PRUDE</t>
  </si>
  <si>
    <t>G09</t>
  </si>
  <si>
    <t>G07</t>
  </si>
  <si>
    <t>G08</t>
  </si>
  <si>
    <t>DAF Implemento</t>
  </si>
  <si>
    <t>DELTA MOTOS COURIER</t>
  </si>
  <si>
    <t>CARGADEDICADA -TR PEÇA</t>
  </si>
  <si>
    <t>DAF Multa</t>
  </si>
  <si>
    <t>JOSEAMILTON1 COURIER</t>
  </si>
  <si>
    <t>ESC -TR PEÇA</t>
  </si>
  <si>
    <t>MARCOS D. COURIER</t>
  </si>
  <si>
    <t>PRINCESA -TR PEÇA</t>
  </si>
  <si>
    <t>UNIBOY COURIER</t>
  </si>
  <si>
    <t>TX LOG -TR PEÇA</t>
  </si>
  <si>
    <t>JORGE LUIZ 2 COURIER</t>
  </si>
  <si>
    <t>ANDREIA R. COURIER</t>
  </si>
  <si>
    <t>JOHN ELVIS COURIER</t>
  </si>
  <si>
    <t>G10</t>
  </si>
  <si>
    <t>VW Implemento</t>
  </si>
  <si>
    <t>VW Licença DER AET</t>
  </si>
  <si>
    <t>VW Licença DNIT AET</t>
  </si>
  <si>
    <t>VW Manutenção</t>
  </si>
  <si>
    <t>G11</t>
  </si>
  <si>
    <t>Responsável</t>
  </si>
  <si>
    <t>VALOR</t>
  </si>
  <si>
    <t>QTD</t>
  </si>
  <si>
    <t>KMs</t>
  </si>
  <si>
    <t>COMBUSTIVEL</t>
  </si>
  <si>
    <t>VALOR KM</t>
  </si>
  <si>
    <t>KM EM HR</t>
  </si>
  <si>
    <t>PROPRIO VW</t>
  </si>
  <si>
    <t>PROPRIO DAF</t>
  </si>
  <si>
    <t>Coluna1</t>
  </si>
  <si>
    <t>APROVEITAMENTO</t>
  </si>
  <si>
    <t>STATUS</t>
  </si>
  <si>
    <t>FRETE</t>
  </si>
  <si>
    <t>HR</t>
  </si>
  <si>
    <t>KM</t>
  </si>
  <si>
    <t>R$ PROP</t>
  </si>
  <si>
    <t>R$ TERC</t>
  </si>
  <si>
    <t>CHASSI</t>
  </si>
  <si>
    <t>REAL</t>
  </si>
  <si>
    <t>CLIENTE/NOTA</t>
  </si>
  <si>
    <t>SOLICITANTE</t>
  </si>
  <si>
    <t>ESTÁ:</t>
  </si>
  <si>
    <t>VAI:</t>
  </si>
  <si>
    <t>ESTÁ EM:</t>
  </si>
  <si>
    <t>VAI PARA:</t>
  </si>
  <si>
    <t>OBS</t>
  </si>
  <si>
    <t>FILIAL CUSTOS</t>
  </si>
  <si>
    <t>EQUIP</t>
  </si>
  <si>
    <t>CONCLUIDO</t>
  </si>
  <si>
    <t>1BM5060ECN4103629</t>
  </si>
  <si>
    <t>MANUTENÇÃO → CLIENTE</t>
  </si>
  <si>
    <t>daisy.kakol</t>
  </si>
  <si>
    <t>CLIENTE</t>
  </si>
  <si>
    <t>DE LOJA PARA CLIENTE</t>
  </si>
  <si>
    <t>MPA</t>
  </si>
  <si>
    <t>https://maps.app.goo.gl/MLVchYQrLvQGhWWp6</t>
  </si>
  <si>
    <t>cezar</t>
  </si>
  <si>
    <t>1BM5080ECP4111950</t>
  </si>
  <si>
    <t>https://maps.app.goo.gl/rYQLkSMERduCoffL8</t>
  </si>
  <si>
    <t>RICARDO DRANKA</t>
  </si>
  <si>
    <t>1BM5080EEP4112594</t>
  </si>
  <si>
    <t>CLIENTE → MANUTENÇÃO</t>
  </si>
  <si>
    <t>DE CLIENTE PARA LOJA</t>
  </si>
  <si>
    <t>https://maps.app.goo.gl/MTXwpjxVEM4SBPA46</t>
  </si>
  <si>
    <t>jose</t>
  </si>
  <si>
    <t>1BM5080EPS4204124</t>
  </si>
  <si>
    <t xml:space="preserve">LUIZ HENRIQUE GREIN -NF107347 </t>
  </si>
  <si>
    <t>euclides.junior</t>
  </si>
  <si>
    <t>GUARAPUAVA</t>
  </si>
  <si>
    <t>https://maps.app.goo.gl/jZEWqzLvNcpTnRBE8</t>
  </si>
  <si>
    <t>Emerson</t>
  </si>
  <si>
    <t>1CQFA30AAS0160114</t>
  </si>
  <si>
    <t>ARNALDO STOCK -NF107847</t>
  </si>
  <si>
    <t>https://maps.app.goo.gl/kFwUPivsMpYS8pGd8</t>
  </si>
  <si>
    <t xml:space="preserve">Fabio </t>
  </si>
  <si>
    <t>1CQS760ACS0160134</t>
  </si>
  <si>
    <t>https://maps.app.goo.gl/Kk5FKYUBPHUbo26P8</t>
  </si>
  <si>
    <t>1BM6135MPSH000596</t>
  </si>
  <si>
    <t>LAURO MIGUEL STRONA -NF76755</t>
  </si>
  <si>
    <t>marcio.jacovossi</t>
  </si>
  <si>
    <t>https://maps.app.goo.gl/JxzGitfYRrvxzYUL9</t>
  </si>
  <si>
    <t>LAURO MIGUEL STRONA   42 999269190</t>
  </si>
  <si>
    <t>1NW4025MVKF190132</t>
  </si>
  <si>
    <t>MARLON BONILHA -NF61707</t>
  </si>
  <si>
    <t>edenilson.mattos</t>
  </si>
  <si>
    <t>PONTA GROSSA</t>
  </si>
  <si>
    <t>https://maps.app.goo.gl/F6zwbnVFirHNNuCLA</t>
  </si>
  <si>
    <t>Contato CEN Alison 43.98409-2094</t>
  </si>
  <si>
    <t>1BM5060EES4201594</t>
  </si>
  <si>
    <t>JOAQUIM MASCARENHAS -NF278279</t>
  </si>
  <si>
    <t>marcos.ribas</t>
  </si>
  <si>
    <t>https://maps.app.goo.gl/s5tPSxgcuWhSkcKc7</t>
  </si>
  <si>
    <t>PAULO - +55 42 9991-2229 - AVISAR ANGELO PARA ACOMPANHAR</t>
  </si>
  <si>
    <t>1BM5060EAP4104558</t>
  </si>
  <si>
    <t>rafael.santos</t>
  </si>
  <si>
    <t>https://maps.app.goo.gl/PXTmMqoYPtx48Gex6</t>
  </si>
  <si>
    <t>LUCIANO DE FREITAS - 43 99624-6946</t>
  </si>
  <si>
    <t>1BM7215CVR3000057</t>
  </si>
  <si>
    <t>marcelo.ferreira</t>
  </si>
  <si>
    <t>https://maps.app.goo.gl/pQZUg9LPg5sgdyLs8</t>
  </si>
  <si>
    <t>GABRIEL - 42 -99972-7464</t>
  </si>
  <si>
    <t>1P06110DABA021136</t>
  </si>
  <si>
    <t>leonardo.ramos</t>
  </si>
  <si>
    <t>https://maps.app.goo.gl/zzmzdRt4m8WXMVjg9</t>
  </si>
  <si>
    <t>JUNIOR +55 42 8866-3271</t>
  </si>
  <si>
    <t>1BM6135MASH000623</t>
  </si>
  <si>
    <t>VLADEMIR STORTI -NF107917</t>
  </si>
  <si>
    <t>https://maps.app.goo.gl/giUyNXP6omVdANbb6</t>
  </si>
  <si>
    <t>Vladmir</t>
  </si>
  <si>
    <t>1BM5080EKS4203735</t>
  </si>
  <si>
    <t>VERIDIANA POSS DE LIMA -NF61217</t>
  </si>
  <si>
    <t>josiane.oliveira</t>
  </si>
  <si>
    <t>https://maps.app.goo.gl/oLpnxFw9huVdueSf7</t>
  </si>
  <si>
    <t>Veridiana 043984053787 -CEN Alison Russi</t>
  </si>
  <si>
    <t>CONCLUIDO (D)</t>
  </si>
  <si>
    <t>1CQ0630AHR0155127</t>
  </si>
  <si>
    <t>MARCELO RIBEIRO DE NARDI -NF278794</t>
  </si>
  <si>
    <t>https://maps.app.goo.gl/2DJawZBMR4yqycss9</t>
  </si>
  <si>
    <t xml:space="preserve">DANILO - MARCELO </t>
  </si>
  <si>
    <t>1CQS550AER0155105</t>
  </si>
  <si>
    <t>1BM6135MCSH000563</t>
  </si>
  <si>
    <t>WILLEM HENDRIK VAN DE RIET -NF109953</t>
  </si>
  <si>
    <t>fernando.wiesinies</t>
  </si>
  <si>
    <t>https://maps.app.goo.gl/B5W3gFAkVjKrxcms8</t>
  </si>
  <si>
    <t xml:space="preserve">(42)999730047 Willen </t>
  </si>
  <si>
    <t>1CQS680ATF0110209</t>
  </si>
  <si>
    <t>DOUGLAS FANCHIN TAQUES FONSECA -NF278835</t>
  </si>
  <si>
    <t>https://maps.app.goo.gl/GfTKV558G2iXHWmg8</t>
  </si>
  <si>
    <t>VALTINHO 42-99920-3056</t>
  </si>
  <si>
    <t>1BM6180JKDD001849</t>
  </si>
  <si>
    <t>gustavo.erdmann</t>
  </si>
  <si>
    <t>https://maps.app.goo.gl/Yk2FrxveQ1BNpLmN8</t>
  </si>
  <si>
    <t>Cassio</t>
  </si>
  <si>
    <t>1BM6100JVSD602522</t>
  </si>
  <si>
    <t xml:space="preserve">ADILSON KRASSOSKI -NF11620 </t>
  </si>
  <si>
    <t>https://maps.app.goo.gl/nUnfbBeivgDPDFmy6</t>
  </si>
  <si>
    <t>Adilson</t>
  </si>
  <si>
    <t>AAAP1112CGS000944</t>
  </si>
  <si>
    <t>TRANSF -NF000076886</t>
  </si>
  <si>
    <t>PRUDENTÓPOLIS</t>
  </si>
  <si>
    <t>DE LOJA PARA LOJA</t>
  </si>
  <si>
    <t>N/A</t>
  </si>
  <si>
    <t>1BM5078EHS4200616</t>
  </si>
  <si>
    <t>TRANSF -NF000076884</t>
  </si>
  <si>
    <t>1BM6150JCSD642412</t>
  </si>
  <si>
    <t>9AGC1007EHS000187</t>
  </si>
  <si>
    <t>TRANSF -NF000076891</t>
  </si>
  <si>
    <t>1BM6100JESD602123</t>
  </si>
  <si>
    <t>OSWALDO R BARBOSA -NF107698</t>
  </si>
  <si>
    <t>https://maps.app.goo.gl/3mYP9KzrASogJS3w9</t>
  </si>
  <si>
    <t>Oswaldo</t>
  </si>
  <si>
    <t>1CQRD30AVS0160245</t>
  </si>
  <si>
    <t>DOUGLAS FONSECA -NF 107225</t>
  </si>
  <si>
    <t>DE LOJA PARA DEMONSTRAÇÃO</t>
  </si>
  <si>
    <t>https://maps.app.goo.gl/xyQpe8BG44WqsG1v9</t>
  </si>
  <si>
    <t>1CQS550APS0160136</t>
  </si>
  <si>
    <t>1BM7230JCPH010913</t>
  </si>
  <si>
    <t>https://maps.app.goo.gl/xb5MkVzoE3pEMvuw8</t>
  </si>
  <si>
    <t>FABIO - 42-99921-1220</t>
  </si>
  <si>
    <t>1BM7225JCGH004564</t>
  </si>
  <si>
    <t>https://maps.app.goo.gl/TWUFTdA34fB48Hvv8</t>
  </si>
  <si>
    <t>RUBINHO 42- 99972-3850</t>
  </si>
  <si>
    <t>1BM5060EPS4201602</t>
  </si>
  <si>
    <t>CARLOS EDINEI KNAUT → MANUTENÇÃO</t>
  </si>
  <si>
    <t>https://maps.app.goo.gl/EGGjvMh2LpNr1STk7</t>
  </si>
  <si>
    <t>OFICINA</t>
  </si>
  <si>
    <t>1BM5080ECN4109659</t>
  </si>
  <si>
    <t>ANSELMO WASELECHEN → MANUTENÇÃO</t>
  </si>
  <si>
    <t>https://maps.app.goo.gl/fhc785TjS54Vtjgc8</t>
  </si>
  <si>
    <t>MANUTENÇÃO → JOSE VALCIR MOREIRA DA SILVA</t>
  </si>
  <si>
    <t>https://maps.app.goo.gl/u6RQ92AcKr5YZVN5A</t>
  </si>
  <si>
    <t>JOSE VALCIR</t>
  </si>
  <si>
    <t>1XBDN10BHPP000280</t>
  </si>
  <si>
    <t>MARLON BONILHA -NF61887</t>
  </si>
  <si>
    <t>https://maps.app.goo.gl/w3owGFpERZASWfsU6</t>
  </si>
  <si>
    <t>Marlon Bonilha CEN Alison Russi</t>
  </si>
  <si>
    <t>PRUDENTOPOLIS</t>
  </si>
  <si>
    <t>1BM5080EKS4204142</t>
  </si>
  <si>
    <t>ANDRE J NASCIMENTO -NF76885</t>
  </si>
  <si>
    <t>https://maps.app.goo.gl/VQtNqdXpX1Nn1Cwt8</t>
  </si>
  <si>
    <t>ANDRÉ  42 920007503</t>
  </si>
  <si>
    <t>1BM5080EVS4203951</t>
  </si>
  <si>
    <t>TIAGO J KOCHINHERKO -NF76887</t>
  </si>
  <si>
    <t>https://maps.app.goo.gl/z97gB1Y9xEQEsjNf6</t>
  </si>
  <si>
    <t>TIAGO 42 998121951</t>
  </si>
  <si>
    <t>1BM5080EJN4108551</t>
  </si>
  <si>
    <t>ADILSON P FURTADO -NF?</t>
  </si>
  <si>
    <t>https://maps.app.goo.gl/tLcmyZnTmDtxQsvb6</t>
  </si>
  <si>
    <t xml:space="preserve">  ADILSON APARECIDO FURTADO 43 - 99864 - 9233</t>
  </si>
  <si>
    <t>1BM6100JCSD602163</t>
  </si>
  <si>
    <t>RONALDO RABBERS -NF109962</t>
  </si>
  <si>
    <t>https://maps.app.goo.gl/6skd9a23gozJLC8q6?g_st=aw</t>
  </si>
  <si>
    <t>Lucas (42)988040302</t>
  </si>
  <si>
    <t>1BM5080ETS6204305</t>
  </si>
  <si>
    <t>SILO DO MALOCA -NF61894</t>
  </si>
  <si>
    <t>DE LOJA PARA DEMONSTRAÇÃO</t>
  </si>
  <si>
    <t>https://maps.app.goo.gl/TYsDXWU4kqkeGb8D6</t>
  </si>
  <si>
    <t>Conexão JD Estática + Jantar - São José da Boa Vista</t>
  </si>
  <si>
    <t>1BM5080EVS4204226</t>
  </si>
  <si>
    <t>1CQFA25APS0160156</t>
  </si>
  <si>
    <t>1CQS440ACS0155147</t>
  </si>
  <si>
    <r>
      <t xml:space="preserve">SILO DO MALOCA -NF61894 </t>
    </r>
    <r>
      <rPr>
        <i/>
        <u/>
        <sz val="11"/>
        <color theme="1"/>
        <rFont val="Calibri"/>
      </rPr>
      <t>VOLTA</t>
    </r>
  </si>
  <si>
    <t>1BM7230CVS3001962</t>
  </si>
  <si>
    <t>FAZENDINHA -NF61895</t>
  </si>
  <si>
    <t>DE CLIENTE PARA CLIENTE</t>
  </si>
  <si>
    <t>https://maps.app.goo.gl/HAQzMitpSPVxhKFi9</t>
  </si>
  <si>
    <t>1NW4030MES0250870</t>
  </si>
  <si>
    <t>VIKTOR LEH -NF107863 - AET ESP+ESCOLTA</t>
  </si>
  <si>
    <t>https://maps.app.goo.gl/CR8ypB1Pd9ZCuWzE6</t>
  </si>
  <si>
    <t xml:space="preserve">Viktor </t>
  </si>
  <si>
    <t>1CQ1213AHS0155196</t>
  </si>
  <si>
    <t>PROGRAMADO (D)</t>
  </si>
  <si>
    <t>PROGRAMADO</t>
  </si>
  <si>
    <t>1CQRD30AVS0160116</t>
  </si>
  <si>
    <t>JAN NOORDEGRAAF NETO -NF61591</t>
  </si>
  <si>
    <t>https://maps.app.goo.gl/w2FYcAi8ZYYfJ88Y8</t>
  </si>
  <si>
    <t>JAN NOORDEGRAAF NETO 042999791942 - CEN PAULO HOPATA</t>
  </si>
  <si>
    <t>1CQS550AAS0160130</t>
  </si>
  <si>
    <t>CTP28811021</t>
  </si>
  <si>
    <t>NOTA DO CLIENTE</t>
  </si>
  <si>
    <t>JAN NOORDEGRAAF NETO 43999791942 - CEN PAULO HOPATA</t>
  </si>
  <si>
    <t>CTP58701025</t>
  </si>
  <si>
    <t>JAN NOORDEGRAAF NETO -NF61845</t>
  </si>
  <si>
    <t>JAN NOORDEGRAAF NETO 43999791942 - CEN Paulo Hopata</t>
  </si>
  <si>
    <t>HCCB251KEKC318677</t>
  </si>
  <si>
    <t>JHFY3585PKJF12965</t>
  </si>
  <si>
    <t>1BM6100JTSD602254</t>
  </si>
  <si>
    <t>PATRICIA H O HASEGAWA -NF106525</t>
  </si>
  <si>
    <t>https://maps.app.goo.gl/sUh1AADFcu4n8yPE8?g_st=iw</t>
  </si>
  <si>
    <t>Patricia</t>
  </si>
  <si>
    <t>1BM6100JCSD602446</t>
  </si>
  <si>
    <t>BRUNNO F VIOMAR -NF 107324</t>
  </si>
  <si>
    <t>https://maps.app.goo.gl/dMP2u2euHz5GQfGg7</t>
  </si>
  <si>
    <t>Bruno</t>
  </si>
  <si>
    <t>Y8C525126</t>
  </si>
  <si>
    <t>ANDRE MUZZOLON TURCO -NF10833</t>
  </si>
  <si>
    <t>https://maps.app.goo.gl/k8sSRQfK1xFP8eN89</t>
  </si>
  <si>
    <t>Andre</t>
  </si>
  <si>
    <t>1BM5060EVS4201539</t>
  </si>
  <si>
    <t>OSMAR DIATCZUK -NF 30883</t>
  </si>
  <si>
    <t>https://maps.google.com/maps?q=-25.1189094%2C-51.0372015&amp;z=17&amp;hl=pt-BR</t>
  </si>
  <si>
    <t>Osmar (42) 99908-3514</t>
  </si>
  <si>
    <t>1BM7215CJSH000128</t>
  </si>
  <si>
    <t>GOLFE CLUB -NF79151</t>
  </si>
  <si>
    <t>carolina.quadros</t>
  </si>
  <si>
    <t>https://maps.app.goo.gl/nPrR72QZAjPCStGf7</t>
  </si>
  <si>
    <t>Silvana +55 42 9955-7892 (Golf Clube)</t>
  </si>
  <si>
    <t>1BM6210MPS3001463</t>
  </si>
  <si>
    <t>RECEBIDO (D)</t>
  </si>
  <si>
    <t>NÃO DEFINIDO</t>
  </si>
  <si>
    <r>
      <t xml:space="preserve">MARCELO RIBEIRO NARDI -NF278794  </t>
    </r>
    <r>
      <rPr>
        <i/>
        <u/>
        <sz val="11"/>
        <color theme="1"/>
        <rFont val="Calibri"/>
      </rPr>
      <t>VOLTA</t>
    </r>
  </si>
  <si>
    <t>RECEBIDO</t>
  </si>
  <si>
    <t>1BM6100JTSD602559</t>
  </si>
  <si>
    <t>HAROLDO L R FILHO -NF109957</t>
  </si>
  <si>
    <t>https://maps.app.goo.gl/SAQGugLBfo1Uqy2XA?g_st=awb</t>
  </si>
  <si>
    <t>Haroldo (51)99902-8053</t>
  </si>
  <si>
    <t>1BM5080EPS6204421</t>
  </si>
  <si>
    <t>NÃO INFORMADO- NÃO TEM NF</t>
  </si>
  <si>
    <t>https://maps.app.goo.gl/BxL47zGps2wAbAig9</t>
  </si>
  <si>
    <t>1BM5060EES4201644</t>
  </si>
  <si>
    <t>Conexão JD -NF279152</t>
  </si>
  <si>
    <t>https://maps.app.goo.gl/tbQZRQV4a7fp35NM6</t>
  </si>
  <si>
    <t>Conexão JD - Estática - Palmeira -Água Clara</t>
  </si>
  <si>
    <t>1BM5080ECS4204234</t>
  </si>
  <si>
    <t>1BM5080ELS4204066</t>
  </si>
  <si>
    <r>
      <t xml:space="preserve">GOLFE CLUB -NF79151 </t>
    </r>
    <r>
      <rPr>
        <i/>
        <u/>
        <sz val="11"/>
        <color theme="1"/>
        <rFont val="Calibri"/>
      </rPr>
      <t>VOLTA</t>
    </r>
  </si>
  <si>
    <t>https://maps.app.goo.gl/rhzoBgFndL48HhK79</t>
  </si>
  <si>
    <t>DEMO - Golfe Clube *16h00 - Ponta Grossa</t>
  </si>
  <si>
    <t>1BM7230CKS3002086</t>
  </si>
  <si>
    <r>
      <t xml:space="preserve">FAZENDINHA -NF61895  </t>
    </r>
    <r>
      <rPr>
        <i/>
        <u/>
        <sz val="11"/>
        <color theme="1"/>
        <rFont val="Calibri"/>
      </rPr>
      <t>VOLTA</t>
    </r>
  </si>
  <si>
    <r>
      <t xml:space="preserve">Conexão JD -NF279152  </t>
    </r>
    <r>
      <rPr>
        <i/>
        <u/>
        <sz val="11"/>
        <color theme="1"/>
        <rFont val="Calibri"/>
      </rPr>
      <t>VOLTA</t>
    </r>
  </si>
  <si>
    <t>https://maps.app.goo.gl/kgJbu1HMjsUxtg7P7</t>
  </si>
  <si>
    <t>Conexão JD - Piraí do Sul</t>
  </si>
  <si>
    <t>1CQFA25ALS0160148</t>
  </si>
  <si>
    <t>1CQS440AVS0155148</t>
  </si>
  <si>
    <t>https://maps.app.goo.gl/1TQNr4KwZ3aiboXJ6</t>
  </si>
  <si>
    <t>Conexão JD + Jantar - Ortigueira -Sindicato Rural</t>
  </si>
  <si>
    <t>SUSPENSO</t>
  </si>
  <si>
    <t>SITIO SÃO JOÃO -NF279149</t>
  </si>
  <si>
    <t>https://maps.app.goo.gl/Pdqbe6rfdzAyjWvL8</t>
  </si>
  <si>
    <t>Demonstração + Dia de Campo - Ponta Grossa</t>
  </si>
  <si>
    <t>1BM5080EVS6204327</t>
  </si>
  <si>
    <t>MARIA BORKOSKI -NF278379</t>
  </si>
  <si>
    <t>https://maps.app.goo.gl/pz4jP4cRzqhcm3mP6</t>
  </si>
  <si>
    <t>GERALDO - GABRIEL - AVISAR CLEBER PARA ACOMPANHAR</t>
  </si>
  <si>
    <t>1BM5080EVS6204375</t>
  </si>
  <si>
    <t>CARLA BORKOSKI -NF278340</t>
  </si>
  <si>
    <t>1CQFA25AES0160153</t>
  </si>
  <si>
    <t>MARCELO RIBEIRO DE NARDI -NF</t>
  </si>
  <si>
    <t>https://maps.app.goo.gl/a7As7SRaDnZSRB6c6</t>
  </si>
  <si>
    <t>DANILO - AVISAR ROITEMAN PARA ACOMPANHAR</t>
  </si>
  <si>
    <t>1CQS440AES0155172</t>
  </si>
  <si>
    <t>FILIAL</t>
  </si>
  <si>
    <t>PDDO</t>
  </si>
  <si>
    <t>CÓD</t>
  </si>
  <si>
    <t>FORNECEDOR</t>
  </si>
  <si>
    <t>STATUS PC</t>
  </si>
  <si>
    <t>Nº NOTA</t>
  </si>
  <si>
    <t>LANÇADA</t>
  </si>
  <si>
    <t>OBSERVAÇÕES</t>
  </si>
  <si>
    <t>SALVAR COMO</t>
  </si>
  <si>
    <t>047889</t>
  </si>
  <si>
    <t>Aguardando</t>
  </si>
  <si>
    <t>CTE EMITIDO ERRADO - SERÁ DESCONTADO N PROX. FATURA DE IRATI</t>
  </si>
  <si>
    <t>Frete Máq. Trator</t>
  </si>
  <si>
    <t>047552</t>
  </si>
  <si>
    <t>GRICZYNSKI -TR MAQ</t>
  </si>
  <si>
    <t>Aprovado</t>
  </si>
  <si>
    <t>047315</t>
  </si>
  <si>
    <t>TRANSCAPITINGA-TR MAQ</t>
  </si>
  <si>
    <t>UTILIZAÇÃO DE MUNCK PARA CARREGAR E DESCARREGAR NA LOJA</t>
  </si>
  <si>
    <t>Frete Máq. Colheitadeira</t>
  </si>
  <si>
    <t>047805</t>
  </si>
  <si>
    <t>MAZETTO -TR MAQ</t>
  </si>
  <si>
    <t>ARNALDO STOCK -NF107847 - FRETE COLHEITADEIRA</t>
  </si>
  <si>
    <t>Frete Máq. Plataforma</t>
  </si>
  <si>
    <t>ARNALDO STOCK -NF107847 - FRETE PLATAFORMA</t>
  </si>
  <si>
    <t>LUIZ HENRIQUE GREIN -NF107347 - FRETE TRATOR</t>
  </si>
  <si>
    <t>047258</t>
  </si>
  <si>
    <t>047247</t>
  </si>
  <si>
    <t>MOTOBOY X CLIENTE: ENTREGAS DO MÊS DE OUTUBRO</t>
  </si>
  <si>
    <t>047246</t>
  </si>
  <si>
    <t>047233</t>
  </si>
  <si>
    <t xml:space="preserve">FRETE DE PEÇAS MOTOBOY X CLIENTE                                                </t>
  </si>
  <si>
    <t>047243</t>
  </si>
  <si>
    <t>047244</t>
  </si>
  <si>
    <t>047249</t>
  </si>
  <si>
    <t>047267</t>
  </si>
  <si>
    <t>FIN</t>
  </si>
  <si>
    <t>047186</t>
  </si>
  <si>
    <t>FRETE DE PEÇAS - ESC</t>
  </si>
  <si>
    <t>047187</t>
  </si>
  <si>
    <t>047188</t>
  </si>
  <si>
    <t>047189</t>
  </si>
  <si>
    <t>047190</t>
  </si>
  <si>
    <t>047192</t>
  </si>
  <si>
    <t>047193</t>
  </si>
  <si>
    <t>047269</t>
  </si>
  <si>
    <t>STOSKI -TR MAQ</t>
  </si>
  <si>
    <t>ENTREGA TRATOR 6135M - LAURO MIGUEL STRONA</t>
  </si>
  <si>
    <t>TRANSPORTE DE TRATOR DE JAPIRA PARA ARAPOTI</t>
  </si>
  <si>
    <t>047199</t>
  </si>
  <si>
    <t>FRETE DE PEÇAS P/ CLIENTE</t>
  </si>
  <si>
    <t>047437</t>
  </si>
  <si>
    <t>047525</t>
  </si>
  <si>
    <t xml:space="preserve">Levar peça na Propriedade do cliente  </t>
  </si>
  <si>
    <t>047178</t>
  </si>
  <si>
    <t>DNIT</t>
  </si>
  <si>
    <t>BOLETO</t>
  </si>
  <si>
    <t>BOLETO DNIT - AET TRIMESTRAL VW (120006)</t>
  </si>
  <si>
    <t>047117</t>
  </si>
  <si>
    <t>DETRAN PR</t>
  </si>
  <si>
    <t>Reboque: sem ABS correto</t>
  </si>
  <si>
    <t>Reboque: Licenciamento 2025</t>
  </si>
  <si>
    <t>TRANSPORTE DE TRATOR PARA SIQUEIRA CAMPOS VEREDIANA</t>
  </si>
  <si>
    <t>VLADEMIR STORTI -NF107917 - FRETE TRATOR</t>
  </si>
  <si>
    <t>MOTOBOY: TRANSF ENTRE LOJAS GRPVA X CASTRO</t>
  </si>
  <si>
    <t>047268</t>
  </si>
  <si>
    <t>MOTOBOY: orçamento  79186</t>
  </si>
  <si>
    <t>047348</t>
  </si>
  <si>
    <t>CTE - KLABIN TB</t>
  </si>
  <si>
    <t>047328</t>
  </si>
  <si>
    <t>entrega de peça cliente Paulo Roberto Soczek Dzierwa</t>
  </si>
  <si>
    <t>047349</t>
  </si>
  <si>
    <t>047553</t>
  </si>
  <si>
    <t>ANDREANI - MT</t>
  </si>
  <si>
    <t>Diagnóstico e testes via aparelho - VW</t>
  </si>
  <si>
    <t>Conector e sensor de rotação e tomada - VW</t>
  </si>
  <si>
    <t>047806</t>
  </si>
  <si>
    <t>ADILSON KRASSOSKI -NF11620  - FRETE TRATOR</t>
  </si>
  <si>
    <t>047527</t>
  </si>
  <si>
    <t>Peça de GRPVA para PG</t>
  </si>
  <si>
    <t>047750</t>
  </si>
  <si>
    <t>CTE KLABIN</t>
  </si>
  <si>
    <t>CTE SINAL SERVIÇOS</t>
  </si>
  <si>
    <t>047383</t>
  </si>
  <si>
    <t>SERIE4 - MT 1</t>
  </si>
  <si>
    <t>peças: correia, polia lisa, polia virabrequim, tensionador -vw</t>
  </si>
  <si>
    <t>serviço de manutenção e troca -vw</t>
  </si>
  <si>
    <t xml:space="preserve">1. levar peças para Bituruna Pr Cliente Jean Carlos de Bastiane </t>
  </si>
  <si>
    <t>047550</t>
  </si>
  <si>
    <t>047757</t>
  </si>
  <si>
    <t>CTE - COCAMAR</t>
  </si>
  <si>
    <t>047116</t>
  </si>
  <si>
    <t>DER - AET VEICULOS</t>
  </si>
  <si>
    <t>33 - D.A. - GRU - Multas de Radares; velocidade: acima de 20%</t>
  </si>
  <si>
    <t>OSWALDO R BARBOSA -NF107698 - FRETE TRATOR</t>
  </si>
  <si>
    <t>047685</t>
  </si>
  <si>
    <t>047573</t>
  </si>
  <si>
    <t>MUNCK IRATI -TR MAQ</t>
  </si>
  <si>
    <t>Transporte de plataforma usada de irati para prude</t>
  </si>
  <si>
    <t>047687</t>
  </si>
  <si>
    <t>047801</t>
  </si>
  <si>
    <t>MONTPAR GUINDASTES</t>
  </si>
  <si>
    <t>Retirada de tanque de pulverizador - serviços</t>
  </si>
  <si>
    <t>047572</t>
  </si>
  <si>
    <t>AGROMAQ -TR MAQ</t>
  </si>
  <si>
    <t>Entrega do distribuidor de nutrientes Tomazina</t>
  </si>
  <si>
    <t>047758</t>
  </si>
  <si>
    <t>INCOMESPMUNCK -TR MAQ</t>
  </si>
  <si>
    <t>SERVIÇO DE MUNK - DESCARREGAR PLATAFORMA</t>
  </si>
  <si>
    <t>047732</t>
  </si>
  <si>
    <t>SUL LONAS - MT</t>
  </si>
  <si>
    <t>FLC LONIL VERDE / PRETO CAPAS COLHETADEIRA E LANÇAS</t>
  </si>
  <si>
    <t>Frete Máq. Carreta</t>
  </si>
  <si>
    <t>047752</t>
  </si>
  <si>
    <t>047802</t>
  </si>
  <si>
    <t>ZORTEA -TR MAQ</t>
  </si>
  <si>
    <t>047872</t>
  </si>
  <si>
    <t>JAPA MARRERO -TR MAQ</t>
  </si>
  <si>
    <t>Transporte de distribuidor de fertilizantes em Indaiatuba para</t>
  </si>
  <si>
    <t>047804</t>
  </si>
  <si>
    <t>RONALDO RABBERS -NF109962 - FRETE TRATOR</t>
  </si>
  <si>
    <t>047892</t>
  </si>
  <si>
    <t>047893</t>
  </si>
  <si>
    <t>047738</t>
  </si>
  <si>
    <t>munck: (des)carregar  peças e implementos para a loja</t>
  </si>
  <si>
    <t>047733</t>
  </si>
  <si>
    <t>MEGA TRUCK ACESSORIOS - MT</t>
  </si>
  <si>
    <t>Manutenção em todas as rodas - VW</t>
  </si>
  <si>
    <t>047800</t>
  </si>
  <si>
    <t>Compra de filtro racor c/dreno</t>
  </si>
  <si>
    <t>Troca do filtro racor</t>
  </si>
  <si>
    <t>Frete Máq. Pulverizador</t>
  </si>
  <si>
    <t>047803</t>
  </si>
  <si>
    <t>LUG -TR MAQ</t>
  </si>
  <si>
    <t>TRANSPORTE DE TRATOR DE SANTANA DO ITARARE PARA ARAPOT</t>
  </si>
  <si>
    <t>047871</t>
  </si>
  <si>
    <t>047873</t>
  </si>
  <si>
    <t>MULTISOLDAS E MUNCK</t>
  </si>
  <si>
    <t>munck: (des)carregar  peças e implementos para a loja (Pneus em 2 dias da semana)</t>
  </si>
  <si>
    <t>047895</t>
  </si>
  <si>
    <t>Frete Máq. Plantadeira</t>
  </si>
  <si>
    <t>047897</t>
  </si>
  <si>
    <t>DATA DA COLETA</t>
  </si>
  <si>
    <t>ENTREGAR ATÉ</t>
  </si>
  <si>
    <t>MOTOBOY OU DEDICADO?</t>
  </si>
  <si>
    <t>ESCOLHA O MOTOBOY</t>
  </si>
  <si>
    <t>VALOR DO SERVIÇO</t>
  </si>
  <si>
    <t>QUEM IRÁ PAGAR?</t>
  </si>
  <si>
    <t>DESCRIÇÃO</t>
  </si>
  <si>
    <t>PC PARA LOJA</t>
  </si>
  <si>
    <t>ENVIAR PC PARA</t>
  </si>
  <si>
    <t>DIMENSÕES</t>
  </si>
  <si>
    <t>LOC COLETA</t>
  </si>
  <si>
    <t>LOC ENTREGA</t>
  </si>
  <si>
    <t>SUGESTÃO TRANSP</t>
  </si>
  <si>
    <t>gabriel.mainardes</t>
  </si>
  <si>
    <t>SIM, VAI POR MOTOBOY/COURIER (exemplo: é leve, um motoboy ou derivado consegue levar)</t>
  </si>
  <si>
    <t>ANDREIA ROSA  |  61.196.032/0001-07</t>
  </si>
  <si>
    <t>70,00</t>
  </si>
  <si>
    <t>ENTREGA DE PEÇA PARA O CLIENTE MARCOS DA SILVA</t>
  </si>
  <si>
    <t>N</t>
  </si>
  <si>
    <t>NOME</t>
  </si>
  <si>
    <t>SIG</t>
  </si>
  <si>
    <t>CHA</t>
  </si>
  <si>
    <t>A</t>
  </si>
  <si>
    <t>C</t>
  </si>
  <si>
    <t>L MIN</t>
  </si>
  <si>
    <t>L MAX</t>
  </si>
  <si>
    <t>PESO</t>
  </si>
  <si>
    <t>SOLICITAÇÕES</t>
  </si>
  <si>
    <t>CNPJ/CPF</t>
  </si>
  <si>
    <t>Razao Social</t>
  </si>
  <si>
    <t>N Fantasia</t>
  </si>
  <si>
    <t>Home-Page</t>
  </si>
  <si>
    <t>FORNECEDORES</t>
  </si>
  <si>
    <t>PRODUTO</t>
  </si>
  <si>
    <t>MacPonta AGRO – 00.702.079/0001-00</t>
  </si>
  <si>
    <t>010101</t>
  </si>
  <si>
    <t>TRATOR 3000</t>
  </si>
  <si>
    <t>TR</t>
  </si>
  <si>
    <t>3036</t>
  </si>
  <si>
    <t>3036EN</t>
  </si>
  <si>
    <t>ALEXANDRE CARLOS DE MORAES</t>
  </si>
  <si>
    <t>ALEXANDRE C. COURIER</t>
  </si>
  <si>
    <t>LOG - IVAIPORA PR</t>
  </si>
  <si>
    <t>COURIER</t>
  </si>
  <si>
    <t>MC_016</t>
  </si>
  <si>
    <t>Frete Máquinas</t>
  </si>
  <si>
    <t>Ponta Grossa PR– Av. Sen. Flávio Carvalho Guimarães, 2100 - Boa Vista, 84072-190</t>
  </si>
  <si>
    <t>TRATOR 5000</t>
  </si>
  <si>
    <t>5060</t>
  </si>
  <si>
    <t>5060E</t>
  </si>
  <si>
    <t>ANDREIA ROSA LIMA</t>
  </si>
  <si>
    <t>LOG - TIBAGI PR</t>
  </si>
  <si>
    <t>MC_017</t>
  </si>
  <si>
    <t>Frete Peças</t>
  </si>
  <si>
    <t>MacPonta AGRO – 00.702.079/0002-83</t>
  </si>
  <si>
    <t>010102</t>
  </si>
  <si>
    <t>5060EN</t>
  </si>
  <si>
    <t>ANDREW BAHLS 07919692903</t>
  </si>
  <si>
    <t>ANDREW B. COURIER</t>
  </si>
  <si>
    <t>LOG - PRUDENTOPOLIS PR</t>
  </si>
  <si>
    <t>MC_019</t>
  </si>
  <si>
    <t>Compra de Peças para Manutenção</t>
  </si>
  <si>
    <t>Castro PR–Av. Pref. Ronie Cardoso, 800 - Jardim das Araucarias, 84174-105</t>
  </si>
  <si>
    <t>5080EN</t>
  </si>
  <si>
    <t>ANILDE VACHESK 58475702953</t>
  </si>
  <si>
    <t>ANILDE V. COURIER</t>
  </si>
  <si>
    <t>LOG - ARAUCARIA PR</t>
  </si>
  <si>
    <t>SV_019</t>
  </si>
  <si>
    <t>Serviço de Manutenção</t>
  </si>
  <si>
    <t>MacPonta AGRO –00.702.079/0003-64</t>
  </si>
  <si>
    <t>010103</t>
  </si>
  <si>
    <t>5070</t>
  </si>
  <si>
    <t>5070E</t>
  </si>
  <si>
    <t>BRUNO GONCALVES MARRONI 11131998901</t>
  </si>
  <si>
    <t>BRUNO G. COURIER</t>
  </si>
  <si>
    <t>LOG - GUARAPUAVA PR</t>
  </si>
  <si>
    <t>SV_046_0010</t>
  </si>
  <si>
    <t>Serviço de Munck</t>
  </si>
  <si>
    <t>511010601026</t>
  </si>
  <si>
    <t>Irati PR– Rua Eduardo Van Der Larrs, S/N, Km 237 - Nhapindazal, 84500-536</t>
  </si>
  <si>
    <t>5078</t>
  </si>
  <si>
    <t>5078E</t>
  </si>
  <si>
    <t>BRUNO HIGINO SANTOS</t>
  </si>
  <si>
    <t>BRUNO H. COURIER</t>
  </si>
  <si>
    <t>LOG - ARAPOTI PR</t>
  </si>
  <si>
    <t>SV_046</t>
  </si>
  <si>
    <t>Serviço de Terceiro (em geral)</t>
  </si>
  <si>
    <t>MacPonta AGRO – 00.702.079/0004-45</t>
  </si>
  <si>
    <t>010104</t>
  </si>
  <si>
    <t>5080</t>
  </si>
  <si>
    <t>5080E</t>
  </si>
  <si>
    <t>CLOVIS BENEDITO DE OLIVEIRA</t>
  </si>
  <si>
    <t>CLOVIS B. COURIER</t>
  </si>
  <si>
    <t>LOG - CAMPO MOURÃO PR</t>
  </si>
  <si>
    <t>CENTRO DE CUSTO</t>
  </si>
  <si>
    <t>Arapoti PR– PR-092, 231, 84990-000</t>
  </si>
  <si>
    <t>5090</t>
  </si>
  <si>
    <t>5090E</t>
  </si>
  <si>
    <t>DANIEL GUEDES - MEI</t>
  </si>
  <si>
    <t>DANIEL G. COURIER</t>
  </si>
  <si>
    <t>LOG - IRATI PR</t>
  </si>
  <si>
    <t>Novos – Frete Máquinas e Manutenção</t>
  </si>
  <si>
    <t>MacPonta AGRO – 00.702.079/0005-26</t>
  </si>
  <si>
    <t>010105</t>
  </si>
  <si>
    <t>TRATOR 6000</t>
  </si>
  <si>
    <t>6100</t>
  </si>
  <si>
    <t>6100J</t>
  </si>
  <si>
    <t>J M N D SANTOS ENTREGAS E ENCOMENDAS</t>
  </si>
  <si>
    <t>LOG - PONTA GROSSA PR</t>
  </si>
  <si>
    <t>Peças Estoque – Frete Peças</t>
  </si>
  <si>
    <t>Guarapuava PR– Rodovia BR 277, Km 347 - Jardim das Americas, 85031-350</t>
  </si>
  <si>
    <t>6115</t>
  </si>
  <si>
    <t>6115J</t>
  </si>
  <si>
    <t>THIAGO MURILO DE MELO</t>
  </si>
  <si>
    <t>DLUCCA COURIER</t>
  </si>
  <si>
    <t>LOG - CASTRO PR</t>
  </si>
  <si>
    <t>Peças Comercial – Frete (Novos, CTE; entre lojas ou para clientes, motoboy e etc)</t>
  </si>
  <si>
    <t>MacPonta AGRO – 00.702.079/0006-07</t>
  </si>
  <si>
    <t>010106</t>
  </si>
  <si>
    <t>6125</t>
  </si>
  <si>
    <t>6125J</t>
  </si>
  <si>
    <t>ELCIO BOBALO</t>
  </si>
  <si>
    <t>ELCIO B. COURIER</t>
  </si>
  <si>
    <t>Serviços – Frete Peças, Serviço de Munck</t>
  </si>
  <si>
    <t>Prudentópolis PR– Rua 12 de Outubro, 21 - Vila Iguaçu, 84400-000</t>
  </si>
  <si>
    <t>6135</t>
  </si>
  <si>
    <t>6135J</t>
  </si>
  <si>
    <t>ERICSON SIDNEI HAAS</t>
  </si>
  <si>
    <t>ERICSON S. COURIER</t>
  </si>
  <si>
    <t>Usados – Frete Máquinas, Serviço de Munck e Serviço de Terceiros</t>
  </si>
  <si>
    <t>MacPonta AGRO – 00.702.079/0007-98</t>
  </si>
  <si>
    <t>010107</t>
  </si>
  <si>
    <t>6135M</t>
  </si>
  <si>
    <t>FERNANDO RAFAEL AGGENS</t>
  </si>
  <si>
    <t>FERNANDO R. COURIER</t>
  </si>
  <si>
    <t>quando for assunto relacionado a AP agricultura de precisão, dpto.</t>
  </si>
  <si>
    <t>Quedas do Iguaçu PR– Av. Ipê, 1495 - Centro, 85460-000</t>
  </si>
  <si>
    <t>6150</t>
  </si>
  <si>
    <t>6150J</t>
  </si>
  <si>
    <t>GABRIEL KAUE DOS SANTOS CHAGAS</t>
  </si>
  <si>
    <t>GABRIEL K COURIER</t>
  </si>
  <si>
    <t>FACILITIES quando for algo a manutenção de prédio ou reparações de predio.</t>
  </si>
  <si>
    <t>MacPonta AGRO – 00.702.079/0008-79</t>
  </si>
  <si>
    <t>010108</t>
  </si>
  <si>
    <t>6150M</t>
  </si>
  <si>
    <t>GELSON CAMARGO</t>
  </si>
  <si>
    <t>GELSON C. COURIER</t>
  </si>
  <si>
    <t>AET, DNIT, DER - CC DE OPERAÇÕES (GERAL)</t>
  </si>
  <si>
    <t>Tibagi PR– Av. Manoel das Dores, 891 - Centro, 84300-000</t>
  </si>
  <si>
    <t>6170</t>
  </si>
  <si>
    <t>6170J</t>
  </si>
  <si>
    <t>MOTO TAXI GLOBAL LTDA</t>
  </si>
  <si>
    <t>GLOBAL COURIER</t>
  </si>
  <si>
    <t>LOG - UMUARAMA PR</t>
  </si>
  <si>
    <t>ÁREA</t>
  </si>
  <si>
    <t>GRUPO APROVAÇÃO</t>
  </si>
  <si>
    <t>RATEIO</t>
  </si>
  <si>
    <t>6170M</t>
  </si>
  <si>
    <t>GUILHERME JUNIOR FERREIRA 11101480971</t>
  </si>
  <si>
    <t>GUILHERME J. COURIER</t>
  </si>
  <si>
    <t>Logística</t>
  </si>
  <si>
    <t>000016</t>
  </si>
  <si>
    <t>000001</t>
  </si>
  <si>
    <t>511010301003</t>
  </si>
  <si>
    <t>6190</t>
  </si>
  <si>
    <t>6190J</t>
  </si>
  <si>
    <t>HERCULES ALEXANDRE BORTOLOTTI</t>
  </si>
  <si>
    <t>HERCULES  COURIER</t>
  </si>
  <si>
    <t>LOG - LONDRINA PR</t>
  </si>
  <si>
    <t>Compras</t>
  </si>
  <si>
    <t>000012</t>
  </si>
  <si>
    <t>Retorno: 161</t>
  </si>
  <si>
    <t>6190M</t>
  </si>
  <si>
    <t>JESUINO VENTURA FERNANDES</t>
  </si>
  <si>
    <t>JESUINO V. COURIER</t>
  </si>
  <si>
    <t>LOG - WENCESLAU BRAZ PR</t>
  </si>
  <si>
    <t>Tipo</t>
  </si>
  <si>
    <t>Operação, Natureza e Chave</t>
  </si>
  <si>
    <t>PARA CADASTRAR FORNECEDOR</t>
  </si>
  <si>
    <t>6210</t>
  </si>
  <si>
    <t>6210J</t>
  </si>
  <si>
    <t>JOAO GUILHERME DOS SANTOS - MEI</t>
  </si>
  <si>
    <t>JOAO GUI. COURIER</t>
  </si>
  <si>
    <t>DACTE - CTE - Verificar</t>
  </si>
  <si>
    <t>Operação: 92 e Natureza: 2130 e Chave:X</t>
  </si>
  <si>
    <t>CNPJ:</t>
  </si>
  <si>
    <t>6210M</t>
  </si>
  <si>
    <t>JOHN ELVIS GALVAO DE OLIVEIRA</t>
  </si>
  <si>
    <t>NFS - NFS - N</t>
  </si>
  <si>
    <t>Operação: 87 e Natureza: 2130 e Chave:-</t>
  </si>
  <si>
    <t>Razão Social:</t>
  </si>
  <si>
    <t>TRATOR 7000</t>
  </si>
  <si>
    <t>7200</t>
  </si>
  <si>
    <t>7200J</t>
  </si>
  <si>
    <t>JOHN NICOLAU DA COSTA</t>
  </si>
  <si>
    <t>JOHN N. COURIER</t>
  </si>
  <si>
    <t>LOG - ALMIRANTE TAMANDARE PR</t>
  </si>
  <si>
    <t>DANFE - SPED - Verificar</t>
  </si>
  <si>
    <t>Operação: 51 e Natureza: 2110 e Chave:X</t>
  </si>
  <si>
    <t>Nome Fantasia:</t>
  </si>
  <si>
    <t>7215</t>
  </si>
  <si>
    <t>7215J</t>
  </si>
  <si>
    <t>RENAN LUCIANO CANETI</t>
  </si>
  <si>
    <t>Endereço (Rua e Bairro):</t>
  </si>
  <si>
    <t>7230</t>
  </si>
  <si>
    <t>7230J</t>
  </si>
  <si>
    <t>JORGE LUIZ DRUGAS</t>
  </si>
  <si>
    <t>JORGE LUIZ COURIER</t>
  </si>
  <si>
    <t>Estado:</t>
  </si>
  <si>
    <t>TRATOR 8000</t>
  </si>
  <si>
    <t>8250</t>
  </si>
  <si>
    <t>8250R</t>
  </si>
  <si>
    <t>JOSE AMILTON RODRIGUES DE LIMA</t>
  </si>
  <si>
    <t>LOGIN PRINCESA TRANSP</t>
  </si>
  <si>
    <t>Município:</t>
  </si>
  <si>
    <t>8270</t>
  </si>
  <si>
    <t>8270R</t>
  </si>
  <si>
    <t>AMILTON CESAR STRICKER RODRIGUES DE LIMA</t>
  </si>
  <si>
    <t>JOSEAMILTON2 COURIER</t>
  </si>
  <si>
    <t>Cidade</t>
  </si>
  <si>
    <t>CNPJ</t>
  </si>
  <si>
    <t>Código</t>
  </si>
  <si>
    <t>CEP:</t>
  </si>
  <si>
    <t>8295</t>
  </si>
  <si>
    <t>8295R</t>
  </si>
  <si>
    <t xml:space="preserve">JOSE AMILTON RODRIGUES DE LIMA        </t>
  </si>
  <si>
    <t>JOSEAMILTON3 COURIER</t>
  </si>
  <si>
    <t>00702079000100</t>
  </si>
  <si>
    <t>Mac1060#</t>
  </si>
  <si>
    <t>Telefone Principal:</t>
  </si>
  <si>
    <t>8320</t>
  </si>
  <si>
    <t>8320R</t>
  </si>
  <si>
    <t>LEONARDO BONFIM ASSME 09745950980</t>
  </si>
  <si>
    <t>LEO ASSME COURIER</t>
  </si>
  <si>
    <t>00702079000283</t>
  </si>
  <si>
    <t>Mac1062#</t>
  </si>
  <si>
    <t>Ins. Estadual:</t>
  </si>
  <si>
    <t>8345</t>
  </si>
  <si>
    <t>8345R</t>
  </si>
  <si>
    <t>LUCIAN LUIZ ORBACH</t>
  </si>
  <si>
    <t>LUCIAN L. COURIER</t>
  </si>
  <si>
    <t>00702079000364</t>
  </si>
  <si>
    <t>Mac1063#</t>
  </si>
  <si>
    <t>E-mail:</t>
  </si>
  <si>
    <t>8370</t>
  </si>
  <si>
    <t>8370R</t>
  </si>
  <si>
    <t>MARCELO ANTUNES</t>
  </si>
  <si>
    <t>MARCELO A. COURIER</t>
  </si>
  <si>
    <t>00702079000445</t>
  </si>
  <si>
    <t>Mac1064#</t>
  </si>
  <si>
    <t>PIX:</t>
  </si>
  <si>
    <t>8400</t>
  </si>
  <si>
    <t>8400R</t>
  </si>
  <si>
    <t>MARCOS DOMINGUES DE PAULA</t>
  </si>
  <si>
    <t>00702079000526</t>
  </si>
  <si>
    <t>Mac1065#</t>
  </si>
  <si>
    <t>Forma de pagamento:</t>
  </si>
  <si>
    <t>TRATOR 9000</t>
  </si>
  <si>
    <t>9R 440</t>
  </si>
  <si>
    <t>MARIELEN FIGURSKI DOS SANTOS</t>
  </si>
  <si>
    <t>MARIELEN F. COURIER</t>
  </si>
  <si>
    <t>LOG - SAO MATEUS DO SUL PR</t>
  </si>
  <si>
    <t>00702079000607</t>
  </si>
  <si>
    <t>Mac1066#</t>
  </si>
  <si>
    <t>Nome Representante:</t>
  </si>
  <si>
    <t>9R 490</t>
  </si>
  <si>
    <t>MARISTELA DAL MAGRO LANCHES</t>
  </si>
  <si>
    <t>MARISTELA D. COURIER</t>
  </si>
  <si>
    <t>LOG - QUEDAS DO IGUAÇU</t>
  </si>
  <si>
    <t>QUEDAS</t>
  </si>
  <si>
    <t>00702079000798</t>
  </si>
  <si>
    <t>Mac1067#</t>
  </si>
  <si>
    <t xml:space="preserve">Form. Pgto.: 45 </t>
  </si>
  <si>
    <t>9R 540</t>
  </si>
  <si>
    <t>NAVEGACAO SANTA TEREZINHA LTDA</t>
  </si>
  <si>
    <t>NAVEGAÇÃO COURIER</t>
  </si>
  <si>
    <t>LOG - CARAMBEI PR</t>
  </si>
  <si>
    <t>00702079000879</t>
  </si>
  <si>
    <t>Mac1068#</t>
  </si>
  <si>
    <t>Cond. Pagto: 009 ou 002</t>
  </si>
  <si>
    <t>9R 590</t>
  </si>
  <si>
    <t>SERGIO CASTURINO MAFRA</t>
  </si>
  <si>
    <t>SERGIO C. COURIER</t>
  </si>
  <si>
    <t>Grp. Tribut.: F01</t>
  </si>
  <si>
    <t>9R 640</t>
  </si>
  <si>
    <t>TATIANE MENDES MENDONCA</t>
  </si>
  <si>
    <t>TATIANE M. COURIER</t>
  </si>
  <si>
    <t>Cod. IBGE: ?</t>
  </si>
  <si>
    <t>9RX 490</t>
  </si>
  <si>
    <t>THIAGO HENRIQUE HOLODIVSKI</t>
  </si>
  <si>
    <t>THIAGO H. COURIER</t>
  </si>
  <si>
    <t>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</t>
  </si>
  <si>
    <t>9RX 540</t>
  </si>
  <si>
    <t>PETERSON LUIZ OZORIO ME</t>
  </si>
  <si>
    <t>9RX 590</t>
  </si>
  <si>
    <t>VALDECIR GUIDO</t>
  </si>
  <si>
    <t>VALDECIR G COURIER</t>
  </si>
  <si>
    <t>9RX 640</t>
  </si>
  <si>
    <t>WESLEY DOUGLAS DA SILVA OLIVEIRA</t>
  </si>
  <si>
    <t>WESLEY D. COURIER</t>
  </si>
  <si>
    <t>CA</t>
  </si>
  <si>
    <t>S430</t>
  </si>
  <si>
    <t>DETRAN PR DEPARTO DE TRANSITO DO PARANA</t>
  </si>
  <si>
    <t>LOG - CURITIBA PR</t>
  </si>
  <si>
    <t>IMPLEMENTO</t>
  </si>
  <si>
    <t>S440</t>
  </si>
  <si>
    <t>ANDREANI AUTO ELETRICA LTDA</t>
  </si>
  <si>
    <t>S470</t>
  </si>
  <si>
    <t>ART AMBIENTAL LTDA</t>
  </si>
  <si>
    <t>ART AMBIENTAL COLETA</t>
  </si>
  <si>
    <t>S550</t>
  </si>
  <si>
    <t>AXT LOPES E CIA LTDA</t>
  </si>
  <si>
    <t>AXT LOPES - MT</t>
  </si>
  <si>
    <t>S660</t>
  </si>
  <si>
    <t>COMERCIAL E IMPORTADORA DE PNEUS LTDA</t>
  </si>
  <si>
    <t>CAMPNEUS</t>
  </si>
  <si>
    <t>LOG - CASCAVEL PR</t>
  </si>
  <si>
    <t>S670</t>
  </si>
  <si>
    <t>S680</t>
  </si>
  <si>
    <t>S690</t>
  </si>
  <si>
    <t>S760</t>
  </si>
  <si>
    <t>S770</t>
  </si>
  <si>
    <t>LOG - TOLEDO PR</t>
  </si>
  <si>
    <t>S780</t>
  </si>
  <si>
    <t>CEFEQ FERRAMENTAS E EQUIPAMENTOS</t>
  </si>
  <si>
    <t>CEFEQ FERRAMENTAS</t>
  </si>
  <si>
    <t>S790</t>
  </si>
  <si>
    <t>GS</t>
  </si>
  <si>
    <t>10</t>
  </si>
  <si>
    <t>10GS</t>
  </si>
  <si>
    <t>DEPARTAMENTO DE ESTRADAS DE ROGAEM DO PR</t>
  </si>
  <si>
    <t>11</t>
  </si>
  <si>
    <t>11GS</t>
  </si>
  <si>
    <t>DNIT-DEPARTAMENTO NACIONAL DE INFRAEST DE TRANSPOR</t>
  </si>
  <si>
    <t>LOG - BRASILIA DF</t>
  </si>
  <si>
    <t>12</t>
  </si>
  <si>
    <t>12GS</t>
  </si>
  <si>
    <t>ECO BRASIL BIOENERGIA LTDA</t>
  </si>
  <si>
    <t>ECO BRASIL</t>
  </si>
  <si>
    <t>LOG - BAURU SP</t>
  </si>
  <si>
    <t>13</t>
  </si>
  <si>
    <t>13GS</t>
  </si>
  <si>
    <t>LECAR RADIADORES LTDA</t>
  </si>
  <si>
    <t>LECARRADIADORES - MT</t>
  </si>
  <si>
    <t>14</t>
  </si>
  <si>
    <t>14GS</t>
  </si>
  <si>
    <t>MEZZOMO LUBRIFICANTES EIRELI</t>
  </si>
  <si>
    <t>LUBRIQUEDAS</t>
  </si>
  <si>
    <t>LOG - QUEDAS DO IGUAÇU PR</t>
  </si>
  <si>
    <t>15</t>
  </si>
  <si>
    <t>15GS</t>
  </si>
  <si>
    <t>MACPONTA CAMINHOES LTDA</t>
  </si>
  <si>
    <t>MACPONTA CAMINHOES</t>
  </si>
  <si>
    <t>LOG - MARIALVA PR</t>
  </si>
  <si>
    <t>16</t>
  </si>
  <si>
    <t>16GS</t>
  </si>
  <si>
    <t>17</t>
  </si>
  <si>
    <t>17GS</t>
  </si>
  <si>
    <t>MANARIM IMPRESSAO DIGITAL LTDA</t>
  </si>
  <si>
    <t>MANARIM IMPRESSOES</t>
  </si>
  <si>
    <t>18</t>
  </si>
  <si>
    <t>18GS</t>
  </si>
  <si>
    <t>MARINA AP VAZ ACESSORIOS</t>
  </si>
  <si>
    <t>MARINA ACESSORIOS</t>
  </si>
  <si>
    <t>19</t>
  </si>
  <si>
    <t>19GS</t>
  </si>
  <si>
    <t>MECANICA SANTA PAULA LTDA</t>
  </si>
  <si>
    <t>MECANICA SANTA PAULA</t>
  </si>
  <si>
    <t>20</t>
  </si>
  <si>
    <t>20GS</t>
  </si>
  <si>
    <t>BARBOZA E BARBOZA LTDA</t>
  </si>
  <si>
    <t>21</t>
  </si>
  <si>
    <t>21GS</t>
  </si>
  <si>
    <t>METAL F.A ALMEIDA E FRAGULHA LTDA</t>
  </si>
  <si>
    <t>METAL F A - MT</t>
  </si>
  <si>
    <t>22</t>
  </si>
  <si>
    <t>22GS</t>
  </si>
  <si>
    <t>FIOLA COMÉRCIO DE MOLAS LTDA</t>
  </si>
  <si>
    <t>MOLAS FIOLA - MT</t>
  </si>
  <si>
    <t>23</t>
  </si>
  <si>
    <t>23GS</t>
  </si>
  <si>
    <t>MATEUS FERNANDO SUTIL</t>
  </si>
  <si>
    <t>24</t>
  </si>
  <si>
    <t>24GS</t>
  </si>
  <si>
    <t>N.S.A. CRONOTACOGRAFO LTDA</t>
  </si>
  <si>
    <t>N S A CRONO - MT</t>
  </si>
  <si>
    <t>25</t>
  </si>
  <si>
    <t>25GS</t>
  </si>
  <si>
    <t>RIGONI &amp; RIGONI LTDA</t>
  </si>
  <si>
    <t>NOVA ERA ACESSORIOS</t>
  </si>
  <si>
    <t>PC</t>
  </si>
  <si>
    <t>0604</t>
  </si>
  <si>
    <t>604C</t>
  </si>
  <si>
    <t>PARAFUSOS GUARAPUAVA LTDA</t>
  </si>
  <si>
    <t>PARAFUSOS GRPVA</t>
  </si>
  <si>
    <t>0605</t>
  </si>
  <si>
    <t>605C</t>
  </si>
  <si>
    <t>0606</t>
  </si>
  <si>
    <t>606C</t>
  </si>
  <si>
    <t>0607</t>
  </si>
  <si>
    <t>607C</t>
  </si>
  <si>
    <t>DUNAPETROL C.D.P CONT 7</t>
  </si>
  <si>
    <t>POSTO SHELL FRANQUIA</t>
  </si>
  <si>
    <t>0608</t>
  </si>
  <si>
    <t>608C</t>
  </si>
  <si>
    <t>DUNAPETROL COM E DERIV DE PETROL LTDA II</t>
  </si>
  <si>
    <t>0609</t>
  </si>
  <si>
    <t>609C</t>
  </si>
  <si>
    <t>DUNAPETROL COM E DERIV DE PETROLEO LTDA</t>
  </si>
  <si>
    <t>0610</t>
  </si>
  <si>
    <t>610C</t>
  </si>
  <si>
    <t>0611</t>
  </si>
  <si>
    <t>611C</t>
  </si>
  <si>
    <t>DUNAPETROL COM.E DERIV.DE PETROLEO LTDA</t>
  </si>
  <si>
    <t>0612</t>
  </si>
  <si>
    <t>612C</t>
  </si>
  <si>
    <t>DUNAPETROL COMERCIO DE DERIVADOS DE PETR</t>
  </si>
  <si>
    <t>0613</t>
  </si>
  <si>
    <t>613C</t>
  </si>
  <si>
    <t>PRESIDENTE RECAPAGENS LTDA</t>
  </si>
  <si>
    <t>PRESIDENTE PNEUS</t>
  </si>
  <si>
    <t>0614</t>
  </si>
  <si>
    <t>614C</t>
  </si>
  <si>
    <t>GOES E DEGRAF LTDA</t>
  </si>
  <si>
    <t>PRESIDENTE PNEUS -MT</t>
  </si>
  <si>
    <t>0615</t>
  </si>
  <si>
    <t>615C</t>
  </si>
  <si>
    <t>S. T. P. COMERCIO DE FERRAMENTAS LTDA</t>
  </si>
  <si>
    <t>PROMAQ FERRAMENTAS</t>
  </si>
  <si>
    <t>0616</t>
  </si>
  <si>
    <t>616C</t>
  </si>
  <si>
    <t>R. A. AUTO ELETRICA E AR CONDICIONADO</t>
  </si>
  <si>
    <t>R A AUTO ELE -  MT</t>
  </si>
  <si>
    <t>PF</t>
  </si>
  <si>
    <t>616F</t>
  </si>
  <si>
    <t>CASA DOS RADIADORES PONTA GROSSA LTDA</t>
  </si>
  <si>
    <t>RADIADORES - MT</t>
  </si>
  <si>
    <t>PR</t>
  </si>
  <si>
    <t>616R</t>
  </si>
  <si>
    <t>S C GARDINAL LTDA</t>
  </si>
  <si>
    <t>S C GARDINAL - MT</t>
  </si>
  <si>
    <t>0617</t>
  </si>
  <si>
    <t>617C</t>
  </si>
  <si>
    <t>PECAS E SERVICOS SERIE 4 AUTO MECANICA</t>
  </si>
  <si>
    <t>0618</t>
  </si>
  <si>
    <t>618F</t>
  </si>
  <si>
    <t>VAN BEIK E CIA LTDA</t>
  </si>
  <si>
    <t>SERIE4 - MT 2</t>
  </si>
  <si>
    <t>618R</t>
  </si>
  <si>
    <t>21.915.466/0001-97</t>
  </si>
  <si>
    <t xml:space="preserve">SILMARA DA SILVA FERNANDES DE ALMEIDA   </t>
  </si>
  <si>
    <t xml:space="preserve">SIL VIAGENS         </t>
  </si>
  <si>
    <t xml:space="preserve">LOG - JAGUARIAIVA PR          </t>
  </si>
  <si>
    <t>0620</t>
  </si>
  <si>
    <t>620F</t>
  </si>
  <si>
    <t>METALURGICA MSL LTDA</t>
  </si>
  <si>
    <t>SILTEC IMPLEMENTOS</t>
  </si>
  <si>
    <t>LOG - HORIZONTINA RS</t>
  </si>
  <si>
    <t>620R</t>
  </si>
  <si>
    <t>RUIZ COMERCIO E REPRESENTACOES LTDA ME</t>
  </si>
  <si>
    <t>0622</t>
  </si>
  <si>
    <t>622F</t>
  </si>
  <si>
    <t>GAWRONSKI SERVIÇOS DE TORNEARIA</t>
  </si>
  <si>
    <t>TORNEAR GAWRONSKI MT</t>
  </si>
  <si>
    <t>622R</t>
  </si>
  <si>
    <t>TREVOMEC COMERCIO DE PEÇAS</t>
  </si>
  <si>
    <t>TREVOMEC PEÇAS</t>
  </si>
  <si>
    <t>0624</t>
  </si>
  <si>
    <t>624C</t>
  </si>
  <si>
    <t>NECKEL &amp; NECKEL LTDA</t>
  </si>
  <si>
    <t>VULCANIZADORA - MT</t>
  </si>
  <si>
    <t>0625</t>
  </si>
  <si>
    <t>625F</t>
  </si>
  <si>
    <t>AGROMAQ NATANAEL DECOL ME</t>
  </si>
  <si>
    <t>MAQ</t>
  </si>
  <si>
    <t>0627</t>
  </si>
  <si>
    <t>627C</t>
  </si>
  <si>
    <t>ALEXANDRE EING</t>
  </si>
  <si>
    <t>ALEXANDRE MUNCK -TR MAQ</t>
  </si>
  <si>
    <t>0630</t>
  </si>
  <si>
    <t>630F</t>
  </si>
  <si>
    <t>ALINE TRANSPORTES AET LOCACOES E TRANSPO</t>
  </si>
  <si>
    <t>ALINE MUNCK -TR MAQ</t>
  </si>
  <si>
    <t>0635</t>
  </si>
  <si>
    <t>635F</t>
  </si>
  <si>
    <t>TIAGO ANDREGHETTO</t>
  </si>
  <si>
    <t>ANDREGHETTO -TR MAQ</t>
  </si>
  <si>
    <t>FD</t>
  </si>
  <si>
    <t>0730</t>
  </si>
  <si>
    <t>730FD</t>
  </si>
  <si>
    <t>ATRHOL - AGENCIA E TRANSPORTES HORIZONTI</t>
  </si>
  <si>
    <t>ATRHOL -TR MAQ</t>
  </si>
  <si>
    <t>LOG - LAGES SC</t>
  </si>
  <si>
    <t>0735</t>
  </si>
  <si>
    <t>735FD</t>
  </si>
  <si>
    <t>ATRHOL AGENCIA E TRANSP. HORIZONTINA LTA</t>
  </si>
  <si>
    <t>0740</t>
  </si>
  <si>
    <t>740FD</t>
  </si>
  <si>
    <t>ATRHOL AGENCIA E TRANSP.HORIZONTINA LTDA</t>
  </si>
  <si>
    <t>LOG - INDAIATUBA SP</t>
  </si>
  <si>
    <t>0745</t>
  </si>
  <si>
    <t>745FD</t>
  </si>
  <si>
    <t>ATRHOL AGENCIA E TRANSPORTES HORIZONTINA</t>
  </si>
  <si>
    <t>LOG - CATALAO GO</t>
  </si>
  <si>
    <t>08</t>
  </si>
  <si>
    <t>08GS</t>
  </si>
  <si>
    <t>ATRHOL AG. E TRANSP. HORIZONTINA LTDA</t>
  </si>
  <si>
    <t>LOG - MONTE NEGRO RS</t>
  </si>
  <si>
    <t>09</t>
  </si>
  <si>
    <t>09GS</t>
  </si>
  <si>
    <t>ATRHOL AGENCIA DE TRANSPORTES</t>
  </si>
  <si>
    <t>LOG - CANOAS RS</t>
  </si>
  <si>
    <t>FA</t>
  </si>
  <si>
    <t>F50</t>
  </si>
  <si>
    <t>HDF50</t>
  </si>
  <si>
    <t>FA30</t>
  </si>
  <si>
    <t>ATRHOL - AG E TRANSP HORIZONTINA LTDA</t>
  </si>
  <si>
    <t>LOG - SÃO PAULO SP</t>
  </si>
  <si>
    <t>RD</t>
  </si>
  <si>
    <t>RD30</t>
  </si>
  <si>
    <t>LOG - RIBEIRÃO PRETO SP</t>
  </si>
  <si>
    <t>RD35</t>
  </si>
  <si>
    <t>ATRHOL AGENCIA TRANSPORTE E TURISMO LTDA</t>
  </si>
  <si>
    <t>LOG - SORRISO MT</t>
  </si>
  <si>
    <t>PL</t>
  </si>
  <si>
    <t>1107</t>
  </si>
  <si>
    <t>MULLER ROCHA TRANSPORTES TERRESTRES LTDA</t>
  </si>
  <si>
    <t>CEZINHA -TR MAQ</t>
  </si>
  <si>
    <t>LOG - TURVO PR</t>
  </si>
  <si>
    <t>1109</t>
  </si>
  <si>
    <t>DERLI DONEDA TRANSPORTES E LOGISTICA</t>
  </si>
  <si>
    <t>DERLI -TR MAQ</t>
  </si>
  <si>
    <t>LOG - NAO-ME-TOQUE RS</t>
  </si>
  <si>
    <t>1111</t>
  </si>
  <si>
    <t>DS GUINCHOS E TRANSPORTES LTDA</t>
  </si>
  <si>
    <t>DS -TR MAQ</t>
  </si>
  <si>
    <t>1113</t>
  </si>
  <si>
    <t>EDERSON FABRICIO NICKHORN EIRELI</t>
  </si>
  <si>
    <t>EDERSO GABISA -TR MAQ</t>
  </si>
  <si>
    <t>LOG - SANTO ANTONIO RS</t>
  </si>
  <si>
    <t>1207</t>
  </si>
  <si>
    <t>EMANOEL GERY</t>
  </si>
  <si>
    <t>EMANOEL REBOQ -TR MAQ</t>
  </si>
  <si>
    <t>LOG - PRUDENTOPOLIS</t>
  </si>
  <si>
    <t>1209</t>
  </si>
  <si>
    <t>FABIO LOGISTICA E TRANSPORTES</t>
  </si>
  <si>
    <t>FABIO -TR MAQ</t>
  </si>
  <si>
    <t>1211</t>
  </si>
  <si>
    <t>FABRICIO KRIK</t>
  </si>
  <si>
    <t>FABRICIO -TR MAQ</t>
  </si>
  <si>
    <t>1213</t>
  </si>
  <si>
    <t>FJ INSTALACOES E OBRAS ELETRICAS LTDA</t>
  </si>
  <si>
    <t>FJ MUNCK -TR MAQ</t>
  </si>
  <si>
    <t>2113</t>
  </si>
  <si>
    <t>FLORIANO SILVEIRA ME</t>
  </si>
  <si>
    <t>FLORIANO -TR MAQ</t>
  </si>
  <si>
    <t>2115</t>
  </si>
  <si>
    <t>RUTE MENDES DA LUZ GRICZYNSKI MEI</t>
  </si>
  <si>
    <t>2117</t>
  </si>
  <si>
    <t>DOUGLAS DE LARA PEREIRA</t>
  </si>
  <si>
    <t>GUINCHO ALFA -TR MAQ</t>
  </si>
  <si>
    <t>2122</t>
  </si>
  <si>
    <t>INCOMESP FABRICAÇÃO E LOCAÇÃO LTDA</t>
  </si>
  <si>
    <t>2126</t>
  </si>
  <si>
    <t>J A K DE LARA TRANSPORTES -ME</t>
  </si>
  <si>
    <t>JAK1FUMAÇA -TR MAQ</t>
  </si>
  <si>
    <t>2130</t>
  </si>
  <si>
    <t>LOURDES DE JESUS MACHADO DE LARA</t>
  </si>
  <si>
    <t>JAK2FUMAÇA -TR MAQ</t>
  </si>
  <si>
    <t>2134</t>
  </si>
  <si>
    <t>MARRERO TRANSPORTADORA LTDA</t>
  </si>
  <si>
    <t>LOG - SENGES PR</t>
  </si>
  <si>
    <t>DB40</t>
  </si>
  <si>
    <t>MARIA ROSA TURCZEN FLIZICOSKI GUINCHO</t>
  </si>
  <si>
    <t>JULIANO -TR MAQ</t>
  </si>
  <si>
    <t>DB50</t>
  </si>
  <si>
    <t>L. H. ROSSATO TRANSPORTES LTDA</t>
  </si>
  <si>
    <t>LH ROSSATO -TR MAQ</t>
  </si>
  <si>
    <t>LOG - BANDEIRANTES PR</t>
  </si>
  <si>
    <t>DB74</t>
  </si>
  <si>
    <t>LUG COMERCIO DE PECAS PARA TRATORES LTDA</t>
  </si>
  <si>
    <t>LOG - COLOMBO PR</t>
  </si>
  <si>
    <t>DB90</t>
  </si>
  <si>
    <t>MAIARA BRUNA CAVICHIOLI</t>
  </si>
  <si>
    <t>MAY -TR MAQ</t>
  </si>
  <si>
    <t>LOG - SAO PAULO SP</t>
  </si>
  <si>
    <t>PV</t>
  </si>
  <si>
    <t>4025</t>
  </si>
  <si>
    <t>M4025</t>
  </si>
  <si>
    <t>60.968.275 MAYCON JOSE CAMARGO DE OLIVEIRA</t>
  </si>
  <si>
    <t>MAYCON -TR MAQ</t>
  </si>
  <si>
    <t>4030</t>
  </si>
  <si>
    <t>M4030</t>
  </si>
  <si>
    <t>MARCOS MAZETTO- ME</t>
  </si>
  <si>
    <t>4040</t>
  </si>
  <si>
    <t>M4040</t>
  </si>
  <si>
    <t>MEGA GUINDASTES LTDA</t>
  </si>
  <si>
    <t>MEGAGUIND -TR MAQ</t>
  </si>
  <si>
    <t>4630</t>
  </si>
  <si>
    <t>M4630</t>
  </si>
  <si>
    <t>A. C. BRAZ DE LIMA - ME</t>
  </si>
  <si>
    <t>MELANCIA -TR MAQ</t>
  </si>
  <si>
    <t>120J</t>
  </si>
  <si>
    <t>R L S MELLO TRANSPORTES</t>
  </si>
  <si>
    <t>MELLO -TR MAQ</t>
  </si>
  <si>
    <t>125J</t>
  </si>
  <si>
    <t>MICA TRANSPORTES LTDA</t>
  </si>
  <si>
    <t>MICA -TR MAQ</t>
  </si>
  <si>
    <t>LOG - BOM PRINCIPIO RS</t>
  </si>
  <si>
    <t>FORRAGEIRA</t>
  </si>
  <si>
    <t>FO</t>
  </si>
  <si>
    <t>8100</t>
  </si>
  <si>
    <t>MZ GUINDASTES LTDA</t>
  </si>
  <si>
    <t>8300</t>
  </si>
  <si>
    <t>AUTO SOCORRO E SERVIÇOS NOGUEIRA LTDA</t>
  </si>
  <si>
    <t>NOGUEIRA -TR MAQ</t>
  </si>
  <si>
    <t>LOG - VIDEIRA SC</t>
  </si>
  <si>
    <t>8500</t>
  </si>
  <si>
    <t>RUHANN COLLECT SALUM</t>
  </si>
  <si>
    <t>R2 AUTO SCRR -TR MAQ</t>
  </si>
  <si>
    <t>CT</t>
  </si>
  <si>
    <t>5685</t>
  </si>
  <si>
    <t>ROBSON DA SILVA</t>
  </si>
  <si>
    <t>ROBSON -TR MAQ</t>
  </si>
  <si>
    <t>FA25</t>
  </si>
  <si>
    <t>ROTA 151 TRANSPORTE E LOCACAO EIRELI</t>
  </si>
  <si>
    <t>ROTA 151 -TR MAQ</t>
  </si>
  <si>
    <t>SABIA MECANICA AGRICOLA LTDA - ME</t>
  </si>
  <si>
    <t>SABIA MUNCK -TR MAQ</t>
  </si>
  <si>
    <t>JOSE MAURICIO STOSKI - ME</t>
  </si>
  <si>
    <t>NAIARA BONAN</t>
  </si>
  <si>
    <t>SYBRUX 1MUNCK -TR MAQ</t>
  </si>
  <si>
    <t>OTAVIO BONAN SYBRUX</t>
  </si>
  <si>
    <t>SYBRUX 2MUNCK -TR MAQ</t>
  </si>
  <si>
    <t>TCP TRANSPORTES PESADOS EIRELI</t>
  </si>
  <si>
    <t>TCP-TR MAQ</t>
  </si>
  <si>
    <t>NELSON LOPES TRANSPORTES ME</t>
  </si>
  <si>
    <t>TRD TRANSPORTE RODOVIÁRIO DALFAN LTDA</t>
  </si>
  <si>
    <t>TRD-TR MAQ</t>
  </si>
  <si>
    <t>LOG - GUARULHOS SP</t>
  </si>
  <si>
    <t>WEZEN TRANSPORTE E LOGISTICA LTDA ME</t>
  </si>
  <si>
    <t>WEZEN -TR MAQ</t>
  </si>
  <si>
    <t>LOG - QUINTANA SP</t>
  </si>
  <si>
    <t>DYEGO DE OLIVEIRA WOLFF TRANSPORTES LTDA</t>
  </si>
  <si>
    <t>WOLFF AS -TR MAQ</t>
  </si>
  <si>
    <t>WRG TRANSPORTES LTDA</t>
  </si>
  <si>
    <t>WRG -TR MAQ</t>
  </si>
  <si>
    <t>ZORTEA SERVICOS AGRICOLAS MAURICIO J Z</t>
  </si>
  <si>
    <t xml:space="preserve">LOG - PAULO FRONTIN PR        </t>
  </si>
  <si>
    <t>GUINCHO ALTERNATIVA PONTA GROSSA LTDA</t>
  </si>
  <si>
    <t>GUINCHO ALTERNATIVA</t>
  </si>
  <si>
    <t>INCOMESP INDU.COM.DE MAQ.ESPECIAIS LTDA</t>
  </si>
  <si>
    <t>INCOMESP GUINDASTES</t>
  </si>
  <si>
    <t>CELSO HARTMANN E CIA LTDA</t>
  </si>
  <si>
    <t>SIDNEI SEBASTIAO SUKOSKI</t>
  </si>
  <si>
    <t>3S -TR MAQ</t>
  </si>
  <si>
    <t>MÁQ</t>
  </si>
  <si>
    <t>DENISE PENTEADO ANASTACIO ASA EXPRESS</t>
  </si>
  <si>
    <t>ASA EXPRESS -TR PEÇA</t>
  </si>
  <si>
    <t>LOG - CAMPINAS SP</t>
  </si>
  <si>
    <t>PEÇAS</t>
  </si>
  <si>
    <t>TRANSPORTES BEGNINI LTDA</t>
  </si>
  <si>
    <t>BEGNINI -TR PEÇA</t>
  </si>
  <si>
    <t>NNJOTRANS TRANSPORTES LTDA</t>
  </si>
  <si>
    <t>ESC TRANSPORTES EXPRESS LTDA</t>
  </si>
  <si>
    <t>EMILYE CAROLYNE MUSIAL MANICA</t>
  </si>
  <si>
    <t>KOMBEX -TR PEÇA</t>
  </si>
  <si>
    <t>58.219.628/0001-62</t>
  </si>
  <si>
    <t xml:space="preserve">RODNEY GUIMARAES DE GEUS                </t>
  </si>
  <si>
    <t xml:space="preserve">LOG - CARAMBEI PR             </t>
  </si>
  <si>
    <t>LBR TRANSPORTES AEREOS LTDA</t>
  </si>
  <si>
    <t>LIBERTY -TR PEÇA</t>
  </si>
  <si>
    <t>LOG - SAO JOSE DOS PINHAIS PR</t>
  </si>
  <si>
    <t>LIBERTY TRANSPORTES RODOVIARIO E AEREO</t>
  </si>
  <si>
    <t>NJOTA TRANSPORTES LTDA</t>
  </si>
  <si>
    <t>NJOTA -TR PEÇA</t>
  </si>
  <si>
    <t>LOG - PINHAIS PR</t>
  </si>
  <si>
    <t>RODONAVES TRANSPORTES MULTIMODAL LTDA</t>
  </si>
  <si>
    <t>RODONAVES -TR PEÇA</t>
  </si>
  <si>
    <t>RODONAVES TRANSP. E ENCOMENTDAS LTDA</t>
  </si>
  <si>
    <t>LOG - BLUMENAU SC</t>
  </si>
  <si>
    <t>RODONAVES TRANSPORTES E ENCOMENDAS LTDA</t>
  </si>
  <si>
    <t>LOG - CONTAGEM MG</t>
  </si>
  <si>
    <t>RODONAVES-TRANSPORTES E ENCOMENDAS LTDA</t>
  </si>
  <si>
    <t>LOG - APARECIDA DE GOIANIA GO</t>
  </si>
  <si>
    <t>LOG - ITAJAI SC</t>
  </si>
  <si>
    <t>RODONAVES-TRANSPORTES E ENCOM. LTDA</t>
  </si>
  <si>
    <t>RODONAVES TRANSPORTES ENCOMENDAS</t>
  </si>
  <si>
    <t>LOG - PARANAIBA MS</t>
  </si>
  <si>
    <t>LOG - PORTO ALEGRE RS</t>
  </si>
  <si>
    <t>RODONAVES TRANSPORTES E ENC. LTDA</t>
  </si>
  <si>
    <t>LOG - RIBEIRAO PRETO SP</t>
  </si>
  <si>
    <t>RODONAVES - TRANSPORTES E ENCOM. LTDA</t>
  </si>
  <si>
    <t>RODONAVES TRANSPORTE E ENCOMENDAS LTDA</t>
  </si>
  <si>
    <t>LOG - UBERABA MG</t>
  </si>
  <si>
    <t>SUDOESTE TRANSPORTES LTDA</t>
  </si>
  <si>
    <t>SUDOESTE -TR PEÇA</t>
  </si>
  <si>
    <t>LOG - FRANCISCO BELTRAO PR</t>
  </si>
  <si>
    <t>TRANSPEN CARGAS E ENCOMENDAS LTDA</t>
  </si>
  <si>
    <t>TRANSPEN -TR PEÇA</t>
  </si>
  <si>
    <t>LOG - ITAPEVA SP</t>
  </si>
  <si>
    <t>TRANSPEN CARGAS E ENCOMENDAS</t>
  </si>
  <si>
    <t>TRANSPEN CARGAS E ENCOMENDAS EIRELI</t>
  </si>
  <si>
    <t>TX LOG ENCOMENDAS EXPRESSAS LTDA</t>
  </si>
  <si>
    <t>EXPRESSO SAO MIGUEL LTDA</t>
  </si>
  <si>
    <t>SAO MIGUEL -TR PEÇA</t>
  </si>
  <si>
    <t>LOG - ASSIS SP</t>
  </si>
  <si>
    <t>EXPRESSO SAO MIGUEL</t>
  </si>
  <si>
    <t>LOG - ALTA FLORESTA DOESTE RO</t>
  </si>
  <si>
    <t>LOG - SÃO LEOPOLDO RS</t>
  </si>
  <si>
    <t>LOG - CAXIAS DO SUL RS</t>
  </si>
  <si>
    <t>LOG - CHAPECO SC</t>
  </si>
  <si>
    <t>LOG - MARINGA PR</t>
  </si>
  <si>
    <t>LOG - REALEZA MG</t>
  </si>
  <si>
    <t>LOG - SÃO CRISTOVÃO DO SUL SC</t>
  </si>
  <si>
    <t>LOG - SARANDI RS</t>
  </si>
  <si>
    <t>EXPRESSO SAO MIGUEL S/A</t>
  </si>
  <si>
    <t>LOG - PALHOÇA SC</t>
  </si>
  <si>
    <t>EXPRESSO SAO MIGUEL SA</t>
  </si>
  <si>
    <t>LOG - JOINVILLE SC</t>
  </si>
  <si>
    <t>EXPRESSO PRINCESA DOS CAMPOS</t>
  </si>
  <si>
    <t>LOG - SUMARE SP</t>
  </si>
  <si>
    <t>EXPRESSO PRINCESA DOS CAMPOS S.A</t>
  </si>
  <si>
    <t>EXPRESSO PRINCESA DOS CAMPOS S/A</t>
  </si>
  <si>
    <t>LOG - CACHOEIRA DO SUL RS</t>
  </si>
  <si>
    <t>LOG - SAO MIGUEL DOESTE SC</t>
  </si>
  <si>
    <t>DEMONSTRAÇÃO 01</t>
  </si>
  <si>
    <t>LOJA</t>
  </si>
  <si>
    <t>MUNICIPIO</t>
  </si>
  <si>
    <t>MODELO EVENTO</t>
  </si>
  <si>
    <t>PRODUTOS</t>
  </si>
  <si>
    <t>LOCALIZAÇÃO</t>
  </si>
  <si>
    <t>Marca / Modelo:</t>
  </si>
  <si>
    <t>JOHN DEERE – COLHEITADEIRA</t>
  </si>
  <si>
    <t>Arapoti</t>
  </si>
  <si>
    <t>São José da Boa Vista</t>
  </si>
  <si>
    <t>Conexão JD Estática + Jantar</t>
  </si>
  <si>
    <t>1CQS440ACS0155147 + 1CQFA25APS0160156; 1BM5080ETS6204305 e 1BM5080EVS4204226</t>
  </si>
  <si>
    <t>Ano / CHASSI:                    2025</t>
  </si>
  <si>
    <t>Tibagi</t>
  </si>
  <si>
    <t>DEMO - Fazendinha</t>
  </si>
  <si>
    <t>1BM7230CVS3001962 - 1CQ1213AHS0155196</t>
  </si>
  <si>
    <t>Descrição do Valor :</t>
  </si>
  <si>
    <t>Ponta Grossa</t>
  </si>
  <si>
    <t>Demonstração + Dia de Campo</t>
  </si>
  <si>
    <t>18/11/2025
19/11/2025</t>
  </si>
  <si>
    <t>1CQS440AVS0155148 + 1CQFA25ALS0160148</t>
  </si>
  <si>
    <r>
      <rPr>
        <sz val="11"/>
        <color rgb="FF000000"/>
        <rFont val="Aptos Narrow"/>
      </rPr>
      <t xml:space="preserve">DEMO - Golfe Clube </t>
    </r>
    <r>
      <rPr>
        <b/>
        <sz val="11"/>
        <color rgb="FFFF0000"/>
        <rFont val="Aptos Narrow"/>
      </rPr>
      <t>*16h00</t>
    </r>
  </si>
  <si>
    <t>1BM7230CKS3002086 - 1BM7215CJSH000128</t>
  </si>
  <si>
    <t>JOHN DEERE – PLATAFORMA</t>
  </si>
  <si>
    <t>Palmeira -Água Clara</t>
  </si>
  <si>
    <t>Conexão JD - Estática</t>
  </si>
  <si>
    <t>24/11/2025
25/11/2025</t>
  </si>
  <si>
    <t>1BM5060EES4201644  - 1BM5080ECS4204234 - 1BM5080ELS4204066</t>
  </si>
  <si>
    <r>
      <rPr>
        <u/>
        <sz val="11"/>
        <color rgb="FF467886"/>
        <rFont val="Aptos Narrow"/>
        <scheme val="minor"/>
      </rPr>
      <t xml:space="preserve">https://maps.app.goo.gl/tbQZRQV4a7fp35NM6
</t>
    </r>
    <r>
      <rPr>
        <sz val="11"/>
        <color rgb="FFFF0000"/>
        <rFont val="Aptos Narrow"/>
        <scheme val="minor"/>
      </rPr>
      <t>*LOCALIZAÇÃO APROXIMADA</t>
    </r>
  </si>
  <si>
    <t>Castro</t>
  </si>
  <si>
    <t>Piraí do Sul</t>
  </si>
  <si>
    <t>Conexão JD</t>
  </si>
  <si>
    <t>1CQS440AVS0155148 + 1CQFA25ALS0160148; 1BM5080ETS6204305 e 1BM5080EVS4204226</t>
  </si>
  <si>
    <t>Ortigueira -Sindicato Rural</t>
  </si>
  <si>
    <t>Conexão JD + Jantar</t>
  </si>
  <si>
    <t>Irati</t>
  </si>
  <si>
    <t>Rio Azul</t>
  </si>
  <si>
    <t>TR5000</t>
  </si>
  <si>
    <t>JOHN DEERE – TRATOR</t>
  </si>
  <si>
    <t>Prudentópolis</t>
  </si>
  <si>
    <t>A definir</t>
  </si>
  <si>
    <t>Loja do equipamento:</t>
  </si>
  <si>
    <t>FISICAMENTE</t>
  </si>
  <si>
    <t>Endereço do local do evento:</t>
  </si>
  <si>
    <t>São José da Boa Vista - PR, 84980-000</t>
  </si>
  <si>
    <t>CAB</t>
  </si>
  <si>
    <t>PLAT</t>
  </si>
  <si>
    <t>Dados do Estabelecimento:</t>
  </si>
  <si>
    <t>Silo do Maloca</t>
  </si>
  <si>
    <t>DEMO FAZENDA FAZENDINHA</t>
  </si>
  <si>
    <t>Data de Saída da Loja:</t>
  </si>
  <si>
    <t>Data do Retorno a Loja: </t>
  </si>
  <si>
    <t xml:space="preserve">1BM5060EES4201644 </t>
  </si>
  <si>
    <t>IRATI→TRANSF PG</t>
  </si>
  <si>
    <t>DEMONSTRAÇÃO 02</t>
  </si>
  <si>
    <t>HABILITADO DEMO</t>
  </si>
  <si>
    <t>DEMO GOLFE CLUBE 16h00</t>
  </si>
  <si>
    <t>1CQS440ALS0155119</t>
  </si>
  <si>
    <t xml:space="preserve">
R$ 989.000,00</t>
  </si>
  <si>
    <t>1CQ0625AVS0155357</t>
  </si>
  <si>
    <t>R$ R$ 509.532,87</t>
  </si>
  <si>
    <t>Rod. Transbrasiliana, 153 - Tibagi, 84300-000</t>
  </si>
  <si>
    <t>FAZENDA FAZENDINHA TIBAGI</t>
  </si>
  <si>
    <t>DEMONSTRAÇÃO 03</t>
  </si>
  <si>
    <t xml:space="preserve">1CQS440AVS0155148 </t>
  </si>
  <si>
    <t>Sitio São João / Rincão do Taquari</t>
  </si>
  <si>
    <t>Proprietário Luis Alfredo Witikowski</t>
  </si>
  <si>
    <t>DEMONSTRAÇÃO 04</t>
  </si>
  <si>
    <t>Rod Ponta Grossa Km 14, 84120-000</t>
  </si>
  <si>
    <t>GOLFE CLUBE - 16h00</t>
  </si>
  <si>
    <t>DEMONSTRAÇÃO 05</t>
  </si>
  <si>
    <t>Água Clara / Palmeira</t>
  </si>
  <si>
    <t>Conexão JD Tratores 5E</t>
  </si>
  <si>
    <t>DEMONSTRAÇÃO 06</t>
  </si>
  <si>
    <t>Av. N. Sra. das Brotas, 2496, Piraí do Sul, 84240-000</t>
  </si>
  <si>
    <t>https://maps.app.goo.gl/MUyXxsKoDWLqwoe56</t>
  </si>
  <si>
    <t>DEMONSTRAÇÃO 07</t>
  </si>
  <si>
    <t>Av. Brasil, 550 - Ortigueira, PR, 84350-000</t>
  </si>
  <si>
    <t>Conexão JD - Ortigueira -Sindicato Rural</t>
  </si>
  <si>
    <t>ITEM</t>
  </si>
  <si>
    <t>CAMINHÃO VW</t>
  </si>
  <si>
    <t>CAMINHÃO DAF</t>
  </si>
  <si>
    <t>Placa</t>
  </si>
  <si>
    <t>ATV6639</t>
  </si>
  <si>
    <t>SDY9A72</t>
  </si>
  <si>
    <t>Modelo</t>
  </si>
  <si>
    <t>VW 24.320 CLC 6x2</t>
  </si>
  <si>
    <t>DAF CF FAC 410</t>
  </si>
  <si>
    <t>REFORMULAR</t>
  </si>
  <si>
    <t>Ano Fabricação</t>
  </si>
  <si>
    <t>Cor</t>
  </si>
  <si>
    <t>Branca</t>
  </si>
  <si>
    <t>Combustível</t>
  </si>
  <si>
    <t>Diesel</t>
  </si>
  <si>
    <t>Caminhão Carga / Prancha</t>
  </si>
  <si>
    <t>Caminhão Carga / Prancha (com Mec. Operac. e Estendida)</t>
  </si>
  <si>
    <t>Potência (CV)</t>
  </si>
  <si>
    <t>CMT (t)</t>
  </si>
  <si>
    <t>PBTC (t)</t>
  </si>
  <si>
    <t>Comprimento (m)</t>
  </si>
  <si>
    <t>Altura (cm)</t>
  </si>
  <si>
    <t>Largura (cm)</t>
  </si>
  <si>
    <t>Velocidade Máx. (km/h)</t>
  </si>
  <si>
    <t>Acessório</t>
  </si>
  <si>
    <t>CAR/REBOQUE/C. ABERTA</t>
  </si>
  <si>
    <t>CARGA REBOQUE</t>
  </si>
  <si>
    <t>Valor Aquisição (Caminhão)</t>
  </si>
  <si>
    <t>Valor Aquisição (Acessório)</t>
  </si>
  <si>
    <t>00317009680</t>
  </si>
  <si>
    <t>01326905837</t>
  </si>
  <si>
    <t>00.702.079/0001-00</t>
  </si>
  <si>
    <t>SDZ9C31</t>
  </si>
  <si>
    <t>01328419948</t>
  </si>
  <si>
    <t>SIDER – DER/PR → https://sider.der.pr.gov.br</t>
  </si>
  <si>
    <t>DPRF - Departamento de Polícia Rodoviária Federal → https://www.prf.gov.br/</t>
  </si>
  <si>
    <t>DNIT - Departamento Nacional de infraestrutura de Transportes →  http://www.dnit.gov.br/</t>
  </si>
  <si>
    <t>IPVA - Em caso de dúvidas consulte  → www.fazenda.pr.gov.br</t>
  </si>
  <si>
    <t>Seguro DPVAT → www.dpvatsegurodotransito.com.br</t>
  </si>
  <si>
    <t>Sistema</t>
  </si>
  <si>
    <t>Login</t>
  </si>
  <si>
    <t>ACESSO</t>
  </si>
  <si>
    <t>DNIT (Federais)</t>
  </si>
  <si>
    <t>SIDER/PR (Estaduais - PR)</t>
  </si>
  <si>
    <t>6hyod</t>
  </si>
  <si>
    <t>AET - Requerimento de AET</t>
  </si>
  <si>
    <t>MPA@2025</t>
  </si>
  <si>
    <t>Multa Detran</t>
  </si>
  <si>
    <t>DAF</t>
  </si>
  <si>
    <t>116200  -  NIC0998654  -  SDY9A72  -  00702079000100</t>
  </si>
  <si>
    <t>CRLV-e e IPVA</t>
  </si>
  <si>
    <t>Site do Detran</t>
  </si>
  <si>
    <t>LUIZ MAURO PEDROSO DA SILVA; CPF 021.745.239-65; Reg. 02659067776</t>
  </si>
  <si>
    <t>DIOGO DUARTE FERREIRA; CPF 068.744.709-73; Registro 04308191052</t>
  </si>
  <si>
    <t>RENAVAM</t>
  </si>
  <si>
    <t>01326905837  / Reboque: 01328419948</t>
  </si>
  <si>
    <t>Chassi</t>
  </si>
  <si>
    <t>-</t>
  </si>
  <si>
    <t>98PACM410NB124999</t>
  </si>
  <si>
    <t>CRLV (último)</t>
  </si>
  <si>
    <t>IPVA Pago (último)</t>
  </si>
  <si>
    <t>IPVA 2025 (R$)</t>
  </si>
  <si>
    <t>Licenciamento</t>
  </si>
  <si>
    <t>Seguro</t>
  </si>
  <si>
    <t>AET Validade</t>
  </si>
  <si>
    <t>10/03/2025 a 07/06/2025</t>
  </si>
  <si>
    <t>03/03/2025 a 20/05/2025</t>
  </si>
  <si>
    <t>Situação Documental</t>
  </si>
  <si>
    <t>OK (AET e IPVA pagos)</t>
  </si>
  <si>
    <t>Custos Fixos (mensal)</t>
  </si>
  <si>
    <t>Custos Variáveis (mensal)</t>
  </si>
  <si>
    <t>Custo Total (mensal)</t>
  </si>
  <si>
    <t>KM Mês</t>
  </si>
  <si>
    <t>Valor por KM</t>
  </si>
  <si>
    <t>Agora ficou bom, você finalmente me deu as placas em vez de jogar 3 km de texto no meu colo e falar “se vira” 😂</t>
  </si>
  <si>
    <r>
      <t xml:space="preserve">Com o </t>
    </r>
    <r>
      <rPr>
        <b/>
        <sz val="10"/>
        <color theme="1"/>
        <rFont val="Aptos Narrow"/>
        <family val="2"/>
        <scheme val="minor"/>
      </rPr>
      <t>Operações.xlsx</t>
    </r>
    <r>
      <rPr>
        <sz val="10"/>
        <color theme="1"/>
        <rFont val="Aptos Narrow"/>
        <family val="2"/>
        <scheme val="minor"/>
      </rPr>
      <t xml:space="preserve"> aqui, dá pra montar um mini relatório de combustível pros dois caminhões:</t>
    </r>
  </si>
  <si>
    <t>VW – placa ATV6639</t>
  </si>
  <si>
    <t>DAF – placa SDY9A72</t>
  </si>
  <si>
    <r>
      <t xml:space="preserve">Tudo que vem da </t>
    </r>
    <r>
      <rPr>
        <b/>
        <sz val="10"/>
        <color theme="1"/>
        <rFont val="Aptos Narrow"/>
        <family val="2"/>
        <scheme val="minor"/>
      </rPr>
      <t>Planilha1 / Planilha2</t>
    </r>
    <r>
      <rPr>
        <sz val="10"/>
        <color theme="1"/>
        <rFont val="Aptos Narrow"/>
        <family val="2"/>
        <scheme val="minor"/>
      </rPr>
      <t xml:space="preserve"> (cartão de combustível), período </t>
    </r>
    <r>
      <rPr>
        <b/>
        <sz val="10"/>
        <color theme="1"/>
        <rFont val="Aptos Narrow"/>
        <family val="2"/>
        <scheme val="minor"/>
      </rPr>
      <t>abr/2025 a nov/2025</t>
    </r>
    <r>
      <rPr>
        <sz val="10"/>
        <color theme="1"/>
        <rFont val="Aptos Narrow"/>
        <family val="2"/>
        <scheme val="minor"/>
      </rPr>
      <t>.</t>
    </r>
  </si>
  <si>
    <t>1. Resumo por caminhão (combustível)</t>
  </si>
  <si>
    <t>Caminhão VW – ATV6639</t>
  </si>
  <si>
    <r>
      <t>Total de combustível no período: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R$ 52.135,90</t>
    </r>
  </si>
  <si>
    <r>
      <t>Média mensal (8 meses):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R$ 6.517,00 / mês</t>
    </r>
  </si>
  <si>
    <r>
      <t>Menor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R$ 3.627,41</t>
    </r>
  </si>
  <si>
    <r>
      <t>Maior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R$ 10.037,95</t>
    </r>
  </si>
  <si>
    <r>
      <t>Participação no gasto total de combustível: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42,8%</t>
    </r>
  </si>
  <si>
    <t>Ou seja: o VW é o “econômico comportado” do rolê, ainda gastando mais de 6 mil por mês em diesel. Vida barata não existe.</t>
  </si>
  <si>
    <t>Caminhão DAF – SDY9A72</t>
  </si>
  <si>
    <r>
      <t>Total de combustível no período: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R$ 69.726,32</t>
    </r>
  </si>
  <si>
    <r>
      <t>Média mensal (8 meses):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R$ 8.715,79 / mês</t>
    </r>
  </si>
  <si>
    <r>
      <t>Menor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R$ 6.296,01</t>
    </r>
  </si>
  <si>
    <r>
      <t>Maior mês: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R$ 15.038,21</t>
    </r>
  </si>
  <si>
    <r>
      <t>Participação no gasto total de combustível: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57,2%</t>
    </r>
  </si>
  <si>
    <r>
      <t xml:space="preserve">O DAF claramente é o ogro comedor de diesel. Tá carregando mais rota longa / pesada ou só vive passeando, mas em dinheiro ele come </t>
    </r>
    <r>
      <rPr>
        <b/>
        <sz val="10"/>
        <color theme="1"/>
        <rFont val="Aptos Narrow"/>
        <family val="2"/>
        <scheme val="minor"/>
      </rPr>
      <t>mais que o VW</t>
    </r>
    <r>
      <rPr>
        <sz val="10"/>
        <color theme="1"/>
        <rFont val="Aptos Narrow"/>
        <family val="2"/>
        <scheme val="minor"/>
      </rPr>
      <t xml:space="preserve"> e com folga.</t>
    </r>
  </si>
  <si>
    <t>3. Visão geral do gasto de combustível</t>
  </si>
  <si>
    <r>
      <t>Total geral (OPERAÇÕES):</t>
    </r>
    <r>
      <rPr>
        <sz val="10"/>
        <color theme="1"/>
        <rFont val="Aptos Narrow"/>
        <family val="2"/>
        <scheme val="minor"/>
      </rPr>
      <t xml:space="preserve"> ≈ </t>
    </r>
    <r>
      <rPr>
        <b/>
        <sz val="10"/>
        <color theme="1"/>
        <rFont val="Aptos Narrow"/>
        <family val="2"/>
        <scheme val="minor"/>
      </rPr>
      <t>R$ 121.862,22</t>
    </r>
  </si>
  <si>
    <t>Divisão:</t>
  </si>
  <si>
    <r>
      <t>VW (ATV6639):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R$ 52,1k</t>
    </r>
    <r>
      <rPr>
        <sz val="10"/>
        <color theme="1"/>
        <rFont val="Aptos Narrow"/>
        <family val="2"/>
        <scheme val="minor"/>
      </rPr>
      <t xml:space="preserve"> → ~</t>
    </r>
    <r>
      <rPr>
        <b/>
        <sz val="10"/>
        <color theme="1"/>
        <rFont val="Aptos Narrow"/>
        <family val="2"/>
        <scheme val="minor"/>
      </rPr>
      <t>42,8%</t>
    </r>
  </si>
  <si>
    <r>
      <t>DAF (SDY9A72):</t>
    </r>
    <r>
      <rPr>
        <sz val="10"/>
        <color theme="1"/>
        <rFont val="Aptos Narrow"/>
        <family val="2"/>
        <scheme val="minor"/>
      </rPr>
      <t xml:space="preserve"> ~</t>
    </r>
    <r>
      <rPr>
        <b/>
        <sz val="10"/>
        <color theme="1"/>
        <rFont val="Aptos Narrow"/>
        <family val="2"/>
        <scheme val="minor"/>
      </rPr>
      <t>R$ 69,7k</t>
    </r>
    <r>
      <rPr>
        <sz val="10"/>
        <color theme="1"/>
        <rFont val="Aptos Narrow"/>
        <family val="2"/>
        <scheme val="minor"/>
      </rPr>
      <t xml:space="preserve"> → ~</t>
    </r>
    <r>
      <rPr>
        <b/>
        <sz val="10"/>
        <color theme="1"/>
        <rFont val="Aptos Narrow"/>
        <family val="2"/>
        <scheme val="minor"/>
      </rPr>
      <t>57,2%</t>
    </r>
  </si>
  <si>
    <r>
      <t xml:space="preserve">Ou seja: de cada R$ 100 em diesel, </t>
    </r>
    <r>
      <rPr>
        <b/>
        <sz val="10"/>
        <color theme="1"/>
        <rFont val="Aptos Narrow"/>
        <family val="2"/>
        <scheme val="minor"/>
      </rPr>
      <t>uns R$ 57</t>
    </r>
    <r>
      <rPr>
        <sz val="10"/>
        <color theme="1"/>
        <rFont val="Aptos Narrow"/>
        <family val="2"/>
        <scheme val="minor"/>
      </rPr>
      <t xml:space="preserve"> vão pro DAF e </t>
    </r>
    <r>
      <rPr>
        <b/>
        <sz val="10"/>
        <color theme="1"/>
        <rFont val="Aptos Narrow"/>
        <family val="2"/>
        <scheme val="minor"/>
      </rPr>
      <t>R$ 43</t>
    </r>
    <r>
      <rPr>
        <sz val="10"/>
        <color theme="1"/>
        <rFont val="Aptos Narrow"/>
        <family val="2"/>
        <scheme val="minor"/>
      </rPr>
      <t xml:space="preserve"> pro VW.</t>
    </r>
  </si>
  <si>
    <t>4. “Combustível vs km/h”</t>
  </si>
  <si>
    <t>Aqui vem a parte chata da verdade:</t>
  </si>
  <si>
    <r>
      <t xml:space="preserve">No </t>
    </r>
    <r>
      <rPr>
        <b/>
        <sz val="10"/>
        <color theme="1"/>
        <rFont val="Aptos Narrow"/>
        <family val="2"/>
        <scheme val="minor"/>
      </rPr>
      <t>arquivo de combustível (Planilha1/Planilha2)</t>
    </r>
    <r>
      <rPr>
        <sz val="10"/>
        <color theme="1"/>
        <rFont val="Aptos Narrow"/>
        <family val="2"/>
        <scheme val="minor"/>
      </rPr>
      <t xml:space="preserve"> eu só tenho:</t>
    </r>
  </si>
  <si>
    <t>Data</t>
  </si>
  <si>
    <t>Valor das transações</t>
  </si>
  <si>
    <t>Centro de custo etc.</t>
  </si>
  <si>
    <r>
      <t>Não tem KM rodado por placa</t>
    </r>
    <r>
      <rPr>
        <sz val="10"/>
        <color theme="1"/>
        <rFont val="Aptos Narrow"/>
        <family val="2"/>
        <scheme val="minor"/>
      </rPr>
      <t xml:space="preserve"> ali.</t>
    </r>
  </si>
  <si>
    <r>
      <t xml:space="preserve">Os </t>
    </r>
    <r>
      <rPr>
        <b/>
        <sz val="10"/>
        <color theme="1"/>
        <rFont val="Aptos Narrow"/>
        <family val="2"/>
        <scheme val="minor"/>
      </rPr>
      <t>KM</t>
    </r>
    <r>
      <rPr>
        <sz val="10"/>
        <color theme="1"/>
        <rFont val="Aptos Narrow"/>
        <family val="2"/>
        <scheme val="minor"/>
      </rPr>
      <t xml:space="preserve"> estão na tabela de fretes que você colou no chat (aquela com STATUS / FRETE / HR / KM / R$ PROP), mas:</t>
    </r>
  </si>
  <si>
    <r>
      <t xml:space="preserve">Ela </t>
    </r>
    <r>
      <rPr>
        <b/>
        <sz val="10"/>
        <color theme="1"/>
        <rFont val="Aptos Narrow"/>
        <family val="2"/>
        <scheme val="minor"/>
      </rPr>
      <t>não está nesse Excel</t>
    </r>
    <r>
      <rPr>
        <sz val="10"/>
        <color theme="1"/>
        <rFont val="Aptos Narrow"/>
        <family val="2"/>
        <scheme val="minor"/>
      </rPr>
      <t>, tá só aqui na conversa.</t>
    </r>
  </si>
  <si>
    <r>
      <t xml:space="preserve">Nessa tabela, eu sei se é </t>
    </r>
    <r>
      <rPr>
        <b/>
        <sz val="10"/>
        <color theme="1"/>
        <rFont val="Aptos Narrow"/>
        <family val="2"/>
        <scheme val="minor"/>
      </rPr>
      <t>PRÓPRIO VW</t>
    </r>
    <r>
      <rPr>
        <sz val="10"/>
        <color theme="1"/>
        <rFont val="Aptos Narrow"/>
        <family val="2"/>
        <scheme val="minor"/>
      </rPr>
      <t xml:space="preserve"> ou </t>
    </r>
    <r>
      <rPr>
        <b/>
        <sz val="10"/>
        <color theme="1"/>
        <rFont val="Aptos Narrow"/>
        <family val="2"/>
        <scheme val="minor"/>
      </rPr>
      <t>PRÓPRIO DAF</t>
    </r>
    <r>
      <rPr>
        <sz val="10"/>
        <color theme="1"/>
        <rFont val="Aptos Narrow"/>
        <family val="2"/>
        <scheme val="minor"/>
      </rPr>
      <t>, mas não consigo cruzar isso automaticamente com o arquivo de combustível, porque são arquivos separados.</t>
    </r>
  </si>
  <si>
    <r>
      <t xml:space="preserve">Então, pra ter um </t>
    </r>
    <r>
      <rPr>
        <b/>
        <sz val="10"/>
        <color theme="1"/>
        <rFont val="Aptos Narrow"/>
        <family val="2"/>
        <scheme val="minor"/>
      </rPr>
      <t>custo de combustível por km</t>
    </r>
    <r>
      <rPr>
        <sz val="10"/>
        <color theme="1"/>
        <rFont val="Aptos Narrow"/>
        <family val="2"/>
        <scheme val="minor"/>
      </rPr>
      <t xml:space="preserve"> bonitinho por caminhão (tipo “VW = R$ X/km, DAF = R$ Y/km”), você vai precisar em algum momento:</t>
    </r>
  </si>
  <si>
    <r>
      <t xml:space="preserve">Ter uma aba com as viagens (essa que você colou) </t>
    </r>
    <r>
      <rPr>
        <b/>
        <sz val="10"/>
        <color theme="1"/>
        <rFont val="Aptos Narrow"/>
        <family val="2"/>
        <scheme val="minor"/>
      </rPr>
      <t>em Excel</t>
    </r>
    <r>
      <rPr>
        <sz val="10"/>
        <color theme="1"/>
        <rFont val="Aptos Narrow"/>
        <family val="2"/>
        <scheme val="minor"/>
      </rPr>
      <t>.</t>
    </r>
  </si>
  <si>
    <r>
      <t xml:space="preserve">Nela, criar uma coluna </t>
    </r>
    <r>
      <rPr>
        <b/>
        <sz val="10"/>
        <color theme="1"/>
        <rFont val="Aptos Narrow"/>
        <family val="2"/>
        <scheme val="minor"/>
      </rPr>
      <t>PLACA</t>
    </r>
    <r>
      <rPr>
        <sz val="10"/>
        <color theme="1"/>
        <rFont val="Aptos Narrow"/>
        <family val="2"/>
        <scheme val="minor"/>
      </rPr>
      <t>:</t>
    </r>
  </si>
  <si>
    <r>
      <t xml:space="preserve">Onde FRETE = </t>
    </r>
    <r>
      <rPr>
        <b/>
        <sz val="10"/>
        <color theme="1"/>
        <rFont val="Aptos Narrow"/>
        <family val="2"/>
        <scheme val="minor"/>
      </rPr>
      <t>PRÓPRIO VW</t>
    </r>
    <r>
      <rPr>
        <sz val="10"/>
        <color theme="1"/>
        <rFont val="Aptos Narrow"/>
        <family val="2"/>
        <scheme val="minor"/>
      </rPr>
      <t xml:space="preserve"> → </t>
    </r>
    <r>
      <rPr>
        <b/>
        <sz val="10"/>
        <color theme="1"/>
        <rFont val="Aptos Narrow"/>
        <family val="2"/>
        <scheme val="minor"/>
      </rPr>
      <t>ATV6639</t>
    </r>
  </si>
  <si>
    <r>
      <t xml:space="preserve">Onde FRETE = </t>
    </r>
    <r>
      <rPr>
        <b/>
        <sz val="10"/>
        <color theme="1"/>
        <rFont val="Aptos Narrow"/>
        <family val="2"/>
        <scheme val="minor"/>
      </rPr>
      <t>PRÓPRIO DAF</t>
    </r>
    <r>
      <rPr>
        <sz val="10"/>
        <color theme="1"/>
        <rFont val="Aptos Narrow"/>
        <family val="2"/>
        <scheme val="minor"/>
      </rPr>
      <t xml:space="preserve"> → </t>
    </r>
    <r>
      <rPr>
        <b/>
        <sz val="10"/>
        <color theme="1"/>
        <rFont val="Aptos Narrow"/>
        <family val="2"/>
        <scheme val="minor"/>
      </rPr>
      <t>SDY9A72</t>
    </r>
  </si>
  <si>
    <r>
      <t xml:space="preserve">Fazer uma Tabela Dinâmica somando </t>
    </r>
    <r>
      <rPr>
        <b/>
        <sz val="10"/>
        <color theme="1"/>
        <rFont val="Aptos Narrow"/>
        <family val="2"/>
        <scheme val="minor"/>
      </rPr>
      <t>KM por placa</t>
    </r>
    <r>
      <rPr>
        <sz val="10"/>
        <color theme="1"/>
        <rFont val="Aptos Narrow"/>
        <family val="2"/>
        <scheme val="minor"/>
      </rPr>
      <t>.</t>
    </r>
  </si>
  <si>
    <t>Aí sim:</t>
  </si>
  <si>
    <t>Custo combust. / km VW = Total combustível ATV6639 / Total km VW</t>
  </si>
  <si>
    <t>Custo combust. / km DAF = Total combustível SDY9A72 / Total km DAF</t>
  </si>
  <si>
    <r>
      <t xml:space="preserve">Com o que você me mandou em arquivo, eu consigo te entregar </t>
    </r>
    <r>
      <rPr>
        <b/>
        <sz val="10"/>
        <color theme="1"/>
        <rFont val="Aptos Narrow"/>
        <family val="2"/>
        <scheme val="minor"/>
      </rPr>
      <t>os valores de combustível certinhos por caminhão</t>
    </r>
    <r>
      <rPr>
        <sz val="10"/>
        <color theme="1"/>
        <rFont val="Aptos Narrow"/>
        <family val="2"/>
        <scheme val="minor"/>
      </rPr>
      <t>, que foi o que fiz acima.</t>
    </r>
  </si>
  <si>
    <t>A parte “vs km/h” eu não vou inventar número só pra ficar bonito, isso é coisa de gestor desonesto, não de planilheira do caos.</t>
  </si>
  <si>
    <t>Resumo grosso modo:</t>
  </si>
  <si>
    <r>
      <t>VW (ATV6639):</t>
    </r>
    <r>
      <rPr>
        <sz val="10"/>
        <color theme="1"/>
        <rFont val="Aptos Narrow"/>
        <family val="2"/>
        <scheme val="minor"/>
      </rPr>
      <t xml:space="preserve"> ~R$ </t>
    </r>
    <r>
      <rPr>
        <b/>
        <sz val="10"/>
        <color theme="1"/>
        <rFont val="Aptos Narrow"/>
        <family val="2"/>
        <scheme val="minor"/>
      </rPr>
      <t>52 mil</t>
    </r>
    <r>
      <rPr>
        <sz val="10"/>
        <color theme="1"/>
        <rFont val="Aptos Narrow"/>
        <family val="2"/>
        <scheme val="minor"/>
      </rPr>
      <t xml:space="preserve"> em diesel, ~R$ </t>
    </r>
    <r>
      <rPr>
        <b/>
        <sz val="10"/>
        <color theme="1"/>
        <rFont val="Aptos Narrow"/>
        <family val="2"/>
        <scheme val="minor"/>
      </rPr>
      <t>6,5 mil/mês</t>
    </r>
  </si>
  <si>
    <r>
      <t>DAF (SDY9A72):</t>
    </r>
    <r>
      <rPr>
        <sz val="10"/>
        <color theme="1"/>
        <rFont val="Aptos Narrow"/>
        <family val="2"/>
        <scheme val="minor"/>
      </rPr>
      <t xml:space="preserve"> ~R$ </t>
    </r>
    <r>
      <rPr>
        <b/>
        <sz val="10"/>
        <color theme="1"/>
        <rFont val="Aptos Narrow"/>
        <family val="2"/>
        <scheme val="minor"/>
      </rPr>
      <t>69,7 mil</t>
    </r>
    <r>
      <rPr>
        <sz val="10"/>
        <color theme="1"/>
        <rFont val="Aptos Narrow"/>
        <family val="2"/>
        <scheme val="minor"/>
      </rPr>
      <t xml:space="preserve"> em diesel, ~R$ </t>
    </r>
    <r>
      <rPr>
        <b/>
        <sz val="10"/>
        <color theme="1"/>
        <rFont val="Aptos Narrow"/>
        <family val="2"/>
        <scheme val="minor"/>
      </rPr>
      <t>8,7 mil/mês</t>
    </r>
  </si>
  <si>
    <r>
      <t xml:space="preserve">DAF tá comendo </t>
    </r>
    <r>
      <rPr>
        <b/>
        <sz val="10"/>
        <color theme="1"/>
        <rFont val="Aptos Narrow"/>
        <family val="2"/>
        <scheme val="minor"/>
      </rPr>
      <t>mais combustível e mais dinheiro</t>
    </r>
    <r>
      <rPr>
        <sz val="10"/>
        <color theme="1"/>
        <rFont val="Aptos Narrow"/>
        <family val="2"/>
        <scheme val="minor"/>
      </rPr>
      <t xml:space="preserve"> que o VW, bem na linha “caminhãozão de rota pesada”.</t>
    </r>
  </si>
  <si>
    <r>
      <t xml:space="preserve">Se quiser depois jogar a tabela de FRETE MÁQUINAS em Excel mesmo, aí sim dá pra fechar o </t>
    </r>
    <r>
      <rPr>
        <b/>
        <sz val="10"/>
        <color theme="1"/>
        <rFont val="Aptos Narrow"/>
        <family val="2"/>
        <scheme val="minor"/>
      </rPr>
      <t>R$/km por caminhão</t>
    </r>
    <r>
      <rPr>
        <sz val="10"/>
        <color theme="1"/>
        <rFont val="Aptos Narrow"/>
        <family val="2"/>
        <scheme val="minor"/>
      </rPr>
      <t xml:space="preserve"> redondinho.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</si>
</sst>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R$&quot;\ #,##0;[Red]\-&quot;R$&quot;\ #,##0"/>
    <numFmt numFmtId="8" formatCode="&quot;R$&quot;\ #,##0.00;[Red]\-&quot;R$&quot;\ #,##0.00"/>
    <numFmt numFmtId="164" formatCode="&quot;R$&quot;\ #,##0.00"/>
    <numFmt numFmtId="165" formatCode="00&quot;.&quot;000&quot;.&quot;000&quot;/&quot;0000&quot;-&quot;00"/>
  </numFmts>
  <fonts count="5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8"/>
      <color theme="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9"/>
      <color theme="1"/>
      <name val="Aptos Narrow"/>
      <family val="2"/>
    </font>
    <font>
      <sz val="8"/>
      <color theme="1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Aptos Narrow"/>
      <family val="2"/>
    </font>
    <font>
      <sz val="9"/>
      <color rgb="FFFF0000"/>
      <name val="Aptos Narrow"/>
      <family val="2"/>
    </font>
    <font>
      <sz val="8"/>
      <color rgb="FF000000"/>
      <name val="Aptos Narrow"/>
      <family val="2"/>
    </font>
    <font>
      <sz val="8"/>
      <color rgb="FF242424"/>
      <name val="Aptos Narrow"/>
      <family val="2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1"/>
      <color theme="1"/>
      <name val="Aptos Narrow"/>
      <scheme val="minor"/>
    </font>
    <font>
      <b/>
      <sz val="11"/>
      <color theme="0"/>
      <name val="Aptos"/>
    </font>
    <font>
      <sz val="11"/>
      <color rgb="FF000000"/>
      <name val="Aptos Narrow"/>
      <family val="2"/>
      <charset val="1"/>
    </font>
    <font>
      <u/>
      <sz val="11"/>
      <color rgb="FF467886"/>
      <name val="Aptos Narrow"/>
      <scheme val="minor"/>
    </font>
    <font>
      <sz val="11"/>
      <color rgb="FFFF0000"/>
      <name val="Aptos Narrow"/>
      <scheme val="minor"/>
    </font>
    <font>
      <sz val="11"/>
      <color rgb="FF00000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rgb="FFFF0000"/>
      <name val="Aptos Narrow"/>
    </font>
    <font>
      <sz val="11"/>
      <color theme="0" tint="-0.34998626667073579"/>
      <name val="Aptos Narrow"/>
    </font>
    <font>
      <sz val="11"/>
      <color theme="0" tint="-0.34998626667073579"/>
      <name val="Aptos Narrow"/>
      <family val="2"/>
      <scheme val="minor"/>
    </font>
    <font>
      <b/>
      <sz val="11"/>
      <color theme="0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u/>
      <sz val="10"/>
      <color theme="10"/>
      <name val="Aptos Narrow"/>
      <scheme val="minor"/>
    </font>
    <font>
      <u/>
      <sz val="10"/>
      <color theme="10"/>
      <name val="Aptos Narrow"/>
      <family val="2"/>
      <scheme val="minor"/>
    </font>
    <font>
      <b/>
      <sz val="12"/>
      <color theme="0"/>
      <name val="Aptos Narrow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Calibri"/>
    </font>
    <font>
      <i/>
      <u/>
      <sz val="11"/>
      <color theme="1"/>
      <name val="Calibri"/>
    </font>
    <font>
      <b/>
      <sz val="11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CC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F7B3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4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medium">
        <color theme="6" tint="-0.249977111117893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95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shrinkToFit="1"/>
    </xf>
    <xf numFmtId="0" fontId="0" fillId="0" borderId="0" xfId="1" applyFont="1" applyFill="1" applyBorder="1" applyAlignment="1">
      <alignment horizontal="left" vertical="center" shrinkToFit="1"/>
    </xf>
    <xf numFmtId="0" fontId="8" fillId="0" borderId="6" xfId="0" applyFont="1" applyBorder="1" applyAlignment="1">
      <alignment horizontal="left" vertical="center" shrinkToFit="1"/>
    </xf>
    <xf numFmtId="0" fontId="0" fillId="0" borderId="6" xfId="1" applyFont="1" applyFill="1" applyBorder="1" applyAlignment="1">
      <alignment horizontal="left" vertical="center" shrinkToFit="1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shrinkToFit="1"/>
    </xf>
    <xf numFmtId="14" fontId="0" fillId="0" borderId="0" xfId="0" applyNumberFormat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0" fillId="2" borderId="8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4" fillId="6" borderId="3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8" fontId="12" fillId="7" borderId="0" xfId="0" applyNumberFormat="1" applyFont="1" applyFill="1" applyAlignment="1">
      <alignment horizontal="center" vertical="center"/>
    </xf>
    <xf numFmtId="0" fontId="16" fillId="6" borderId="1" xfId="0" quotePrefix="1" applyFont="1" applyFill="1" applyBorder="1" applyAlignment="1">
      <alignment horizontal="center" vertical="center"/>
    </xf>
    <xf numFmtId="0" fontId="17" fillId="6" borderId="1" xfId="2" applyFont="1" applyFill="1" applyBorder="1" applyAlignment="1">
      <alignment horizontal="center" vertical="center"/>
    </xf>
    <xf numFmtId="0" fontId="18" fillId="6" borderId="1" xfId="2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2" fillId="6" borderId="1" xfId="0" quotePrefix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8" fontId="12" fillId="6" borderId="3" xfId="0" applyNumberFormat="1" applyFont="1" applyFill="1" applyBorder="1" applyAlignment="1">
      <alignment horizontal="center" vertical="center"/>
    </xf>
    <xf numFmtId="8" fontId="12" fillId="6" borderId="9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4" fontId="12" fillId="6" borderId="3" xfId="0" applyNumberFormat="1" applyFont="1" applyFill="1" applyBorder="1" applyAlignment="1">
      <alignment horizontal="center" vertical="center"/>
    </xf>
    <xf numFmtId="6" fontId="12" fillId="6" borderId="3" xfId="0" applyNumberFormat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3" fontId="12" fillId="6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1" fillId="6" borderId="1" xfId="0" quotePrefix="1" applyFont="1" applyFill="1" applyBorder="1" applyAlignment="1">
      <alignment vertical="center"/>
    </xf>
    <xf numFmtId="0" fontId="14" fillId="6" borderId="3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left" vertical="center" shrinkToFit="1"/>
    </xf>
    <xf numFmtId="0" fontId="23" fillId="4" borderId="0" xfId="0" applyFont="1" applyFill="1" applyAlignment="1">
      <alignment horizontal="left" vertical="center" shrinkToFi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7" fillId="5" borderId="7" xfId="0" applyFont="1" applyFill="1" applyBorder="1" applyAlignment="1">
      <alignment horizontal="center" vertical="center"/>
    </xf>
    <xf numFmtId="0" fontId="24" fillId="3" borderId="0" xfId="0" applyFont="1" applyFill="1"/>
    <xf numFmtId="0" fontId="6" fillId="0" borderId="0" xfId="0" applyFont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16" xfId="0" applyBorder="1" applyAlignment="1">
      <alignment horizontal="left" vertical="center" shrinkToFit="1"/>
    </xf>
    <xf numFmtId="0" fontId="0" fillId="0" borderId="17" xfId="0" applyBorder="1" applyAlignment="1">
      <alignment horizontal="left" vertical="center" shrinkToFit="1"/>
    </xf>
    <xf numFmtId="49" fontId="0" fillId="0" borderId="0" xfId="0" applyNumberFormat="1" applyAlignment="1">
      <alignment horizontal="left" vertical="center"/>
    </xf>
    <xf numFmtId="8" fontId="25" fillId="9" borderId="1" xfId="0" applyNumberFormat="1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14" fontId="33" fillId="10" borderId="1" xfId="0" applyNumberFormat="1" applyFont="1" applyFill="1" applyBorder="1" applyAlignment="1">
      <alignment horizontal="left" vertical="center"/>
    </xf>
    <xf numFmtId="0" fontId="33" fillId="10" borderId="1" xfId="0" applyFont="1" applyFill="1" applyBorder="1" applyAlignment="1">
      <alignment horizontal="left" vertical="center"/>
    </xf>
    <xf numFmtId="14" fontId="33" fillId="0" borderId="1" xfId="0" applyNumberFormat="1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14" fontId="33" fillId="0" borderId="2" xfId="0" applyNumberFormat="1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8" fontId="25" fillId="9" borderId="2" xfId="0" applyNumberFormat="1" applyFont="1" applyFill="1" applyBorder="1" applyAlignment="1">
      <alignment horizontal="left"/>
    </xf>
    <xf numFmtId="8" fontId="25" fillId="9" borderId="20" xfId="0" applyNumberFormat="1" applyFont="1" applyFill="1" applyBorder="1" applyAlignment="1">
      <alignment horizontal="left"/>
    </xf>
    <xf numFmtId="0" fontId="35" fillId="6" borderId="1" xfId="0" applyFont="1" applyFill="1" applyBorder="1" applyAlignment="1">
      <alignment horizontal="left" vertical="center"/>
    </xf>
    <xf numFmtId="8" fontId="38" fillId="0" borderId="2" xfId="0" applyNumberFormat="1" applyFont="1" applyBorder="1" applyAlignment="1">
      <alignment horizontal="left"/>
    </xf>
    <xf numFmtId="0" fontId="39" fillId="9" borderId="1" xfId="0" applyFont="1" applyFill="1" applyBorder="1" applyAlignment="1">
      <alignment horizontal="left" vertical="center"/>
    </xf>
    <xf numFmtId="0" fontId="40" fillId="9" borderId="1" xfId="2" applyFont="1" applyFill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25" fillId="9" borderId="1" xfId="0" applyFont="1" applyFill="1" applyBorder="1" applyAlignment="1">
      <alignment horizontal="left" vertical="center"/>
    </xf>
    <xf numFmtId="8" fontId="25" fillId="9" borderId="1" xfId="0" applyNumberFormat="1" applyFont="1" applyFill="1" applyBorder="1" applyAlignment="1">
      <alignment horizontal="left" vertical="center"/>
    </xf>
    <xf numFmtId="14" fontId="25" fillId="12" borderId="1" xfId="0" applyNumberFormat="1" applyFont="1" applyFill="1" applyBorder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14" fontId="25" fillId="0" borderId="0" xfId="0" applyNumberFormat="1" applyFont="1" applyAlignment="1">
      <alignment horizontal="left" vertical="center"/>
    </xf>
    <xf numFmtId="0" fontId="25" fillId="9" borderId="21" xfId="0" applyFont="1" applyFill="1" applyBorder="1" applyAlignment="1">
      <alignment horizontal="left" vertical="center"/>
    </xf>
    <xf numFmtId="0" fontId="41" fillId="9" borderId="1" xfId="2" applyFont="1" applyFill="1" applyBorder="1" applyAlignment="1">
      <alignment horizontal="left" vertical="center"/>
    </xf>
    <xf numFmtId="20" fontId="8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164" fontId="8" fillId="0" borderId="6" xfId="0" applyNumberFormat="1" applyFont="1" applyBorder="1" applyAlignment="1">
      <alignment horizontal="left" vertical="center" shrinkToFit="1"/>
    </xf>
    <xf numFmtId="14" fontId="8" fillId="0" borderId="0" xfId="0" applyNumberFormat="1" applyFont="1" applyAlignment="1">
      <alignment horizontal="left" vertical="center" shrinkToFit="1"/>
    </xf>
    <xf numFmtId="14" fontId="8" fillId="0" borderId="6" xfId="0" applyNumberFormat="1" applyFont="1" applyBorder="1" applyAlignment="1">
      <alignment horizontal="left" vertical="center" shrinkToFit="1"/>
    </xf>
    <xf numFmtId="0" fontId="8" fillId="0" borderId="6" xfId="2" applyFont="1" applyFill="1" applyBorder="1" applyAlignment="1">
      <alignment horizontal="left" vertical="center" shrinkToFit="1"/>
    </xf>
    <xf numFmtId="0" fontId="27" fillId="11" borderId="3" xfId="0" applyFont="1" applyFill="1" applyBorder="1" applyAlignment="1">
      <alignment vertical="center"/>
    </xf>
    <xf numFmtId="0" fontId="27" fillId="11" borderId="5" xfId="0" applyFont="1" applyFill="1" applyBorder="1" applyAlignment="1">
      <alignment vertical="center"/>
    </xf>
    <xf numFmtId="0" fontId="31" fillId="4" borderId="10" xfId="0" applyFont="1" applyFill="1" applyBorder="1" applyAlignment="1">
      <alignment horizontal="left" vertical="center"/>
    </xf>
    <xf numFmtId="0" fontId="31" fillId="4" borderId="18" xfId="0" applyFont="1" applyFill="1" applyBorder="1" applyAlignment="1">
      <alignment horizontal="left" vertical="center"/>
    </xf>
    <xf numFmtId="14" fontId="31" fillId="4" borderId="18" xfId="0" applyNumberFormat="1" applyFont="1" applyFill="1" applyBorder="1" applyAlignment="1">
      <alignment horizontal="left" vertical="center"/>
    </xf>
    <xf numFmtId="0" fontId="32" fillId="4" borderId="18" xfId="2" applyFont="1" applyFill="1" applyBorder="1" applyAlignment="1">
      <alignment horizontal="left" vertical="center"/>
    </xf>
    <xf numFmtId="0" fontId="33" fillId="10" borderId="1" xfId="0" applyFont="1" applyFill="1" applyBorder="1"/>
    <xf numFmtId="0" fontId="32" fillId="10" borderId="1" xfId="2" applyFont="1" applyFill="1" applyBorder="1" applyAlignment="1"/>
    <xf numFmtId="0" fontId="33" fillId="4" borderId="1" xfId="0" applyFont="1" applyFill="1" applyBorder="1" applyAlignment="1">
      <alignment horizontal="left" vertical="center"/>
    </xf>
    <xf numFmtId="14" fontId="33" fillId="4" borderId="1" xfId="0" applyNumberFormat="1" applyFont="1" applyFill="1" applyBorder="1" applyAlignment="1">
      <alignment horizontal="left" vertical="center"/>
    </xf>
    <xf numFmtId="0" fontId="32" fillId="4" borderId="1" xfId="2" applyFont="1" applyFill="1" applyBorder="1" applyAlignment="1">
      <alignment horizontal="left" vertical="center"/>
    </xf>
    <xf numFmtId="0" fontId="32" fillId="10" borderId="1" xfId="2" applyFont="1" applyFill="1" applyBorder="1" applyAlignment="1">
      <alignment horizontal="left" vertical="center" shrinkToFit="1"/>
    </xf>
    <xf numFmtId="0" fontId="31" fillId="4" borderId="1" xfId="0" applyFont="1" applyFill="1" applyBorder="1" applyAlignment="1">
      <alignment horizontal="left" vertical="center"/>
    </xf>
    <xf numFmtId="14" fontId="31" fillId="4" borderId="1" xfId="0" applyNumberFormat="1" applyFont="1" applyFill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7" fillId="11" borderId="1" xfId="0" applyFont="1" applyFill="1" applyBorder="1"/>
    <xf numFmtId="0" fontId="4" fillId="11" borderId="1" xfId="0" applyFont="1" applyFill="1" applyBorder="1"/>
    <xf numFmtId="0" fontId="25" fillId="9" borderId="1" xfId="0" applyFont="1" applyFill="1" applyBorder="1"/>
    <xf numFmtId="164" fontId="36" fillId="6" borderId="1" xfId="0" applyNumberFormat="1" applyFont="1" applyFill="1" applyBorder="1" applyAlignment="1">
      <alignment horizontal="left"/>
    </xf>
    <xf numFmtId="0" fontId="36" fillId="6" borderId="1" xfId="0" applyFont="1" applyFill="1" applyBorder="1"/>
    <xf numFmtId="164" fontId="0" fillId="0" borderId="1" xfId="0" applyNumberFormat="1" applyBorder="1" applyAlignment="1">
      <alignment horizontal="left"/>
    </xf>
    <xf numFmtId="0" fontId="0" fillId="6" borderId="1" xfId="0" applyFill="1" applyBorder="1"/>
    <xf numFmtId="164" fontId="0" fillId="6" borderId="1" xfId="0" applyNumberFormat="1" applyFill="1" applyBorder="1" applyAlignment="1">
      <alignment horizontal="left"/>
    </xf>
    <xf numFmtId="0" fontId="25" fillId="9" borderId="20" xfId="0" applyFont="1" applyFill="1" applyBorder="1"/>
    <xf numFmtId="0" fontId="0" fillId="0" borderId="20" xfId="0" applyBorder="1"/>
    <xf numFmtId="0" fontId="25" fillId="9" borderId="2" xfId="0" applyFont="1" applyFill="1" applyBorder="1"/>
    <xf numFmtId="0" fontId="0" fillId="0" borderId="2" xfId="0" applyBorder="1"/>
    <xf numFmtId="0" fontId="26" fillId="0" borderId="1" xfId="0" applyFont="1" applyBorder="1"/>
    <xf numFmtId="0" fontId="38" fillId="0" borderId="2" xfId="0" applyFont="1" applyBorder="1"/>
    <xf numFmtId="0" fontId="28" fillId="0" borderId="1" xfId="0" applyFont="1" applyBorder="1"/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0" fillId="0" borderId="6" xfId="2" applyFont="1" applyBorder="1" applyAlignment="1">
      <alignment horizontal="left" vertical="center" shrinkToFit="1"/>
    </xf>
    <xf numFmtId="0" fontId="0" fillId="0" borderId="0" xfId="2" applyFont="1" applyFill="1" applyAlignment="1">
      <alignment horizontal="left" vertical="center" shrinkToFit="1"/>
    </xf>
    <xf numFmtId="0" fontId="45" fillId="0" borderId="6" xfId="2" applyFont="1" applyFill="1" applyBorder="1" applyAlignment="1">
      <alignment horizontal="left" vertical="center" shrinkToFit="1"/>
    </xf>
    <xf numFmtId="0" fontId="45" fillId="0" borderId="6" xfId="2" applyFont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5" fillId="0" borderId="0" xfId="2" applyFont="1" applyAlignment="1">
      <alignment horizontal="left" vertical="center" shrinkToFit="1"/>
    </xf>
    <xf numFmtId="164" fontId="0" fillId="0" borderId="0" xfId="0" applyNumberFormat="1" applyAlignment="1">
      <alignment horizontal="left" vertical="center" shrinkToFit="1"/>
    </xf>
    <xf numFmtId="14" fontId="0" fillId="0" borderId="0" xfId="0" applyNumberFormat="1" applyAlignment="1">
      <alignment horizontal="left" vertical="center" shrinkToFit="1"/>
    </xf>
    <xf numFmtId="0" fontId="48" fillId="0" borderId="6" xfId="0" applyFont="1" applyBorder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20" fontId="48" fillId="0" borderId="0" xfId="0" applyNumberFormat="1" applyFont="1" applyAlignment="1">
      <alignment horizontal="left" vertical="center" shrinkToFit="1"/>
    </xf>
    <xf numFmtId="164" fontId="48" fillId="0" borderId="0" xfId="0" applyNumberFormat="1" applyFont="1" applyAlignment="1">
      <alignment horizontal="left" vertical="center" shrinkToFit="1"/>
    </xf>
    <xf numFmtId="164" fontId="48" fillId="0" borderId="6" xfId="0" applyNumberFormat="1" applyFont="1" applyBorder="1" applyAlignment="1">
      <alignment horizontal="left" vertical="center" shrinkToFit="1"/>
    </xf>
    <xf numFmtId="14" fontId="48" fillId="0" borderId="0" xfId="0" applyNumberFormat="1" applyFont="1" applyAlignment="1">
      <alignment horizontal="left" vertical="center" shrinkToFit="1"/>
    </xf>
    <xf numFmtId="14" fontId="48" fillId="0" borderId="6" xfId="0" applyNumberFormat="1" applyFont="1" applyBorder="1" applyAlignment="1">
      <alignment horizontal="left" vertical="center" shrinkToFit="1"/>
    </xf>
    <xf numFmtId="0" fontId="49" fillId="0" borderId="6" xfId="2" applyFont="1" applyBorder="1" applyAlignment="1">
      <alignment horizontal="left" vertical="center" shrinkToFit="1"/>
    </xf>
    <xf numFmtId="0" fontId="50" fillId="0" borderId="0" xfId="0" applyFont="1" applyAlignment="1">
      <alignment horizontal="left" vertical="center"/>
    </xf>
    <xf numFmtId="0" fontId="49" fillId="0" borderId="0" xfId="2" applyFont="1" applyFill="1" applyAlignment="1">
      <alignment horizontal="left" vertical="center" shrinkToFit="1"/>
    </xf>
    <xf numFmtId="0" fontId="3" fillId="0" borderId="0" xfId="0" applyFont="1"/>
    <xf numFmtId="0" fontId="51" fillId="5" borderId="23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51" fillId="5" borderId="7" xfId="0" applyFont="1" applyFill="1" applyBorder="1" applyAlignment="1">
      <alignment horizontal="left" vertical="center"/>
    </xf>
    <xf numFmtId="2" fontId="51" fillId="5" borderId="7" xfId="0" applyNumberFormat="1" applyFont="1" applyFill="1" applyBorder="1" applyAlignment="1">
      <alignment horizontal="left" vertical="center"/>
    </xf>
    <xf numFmtId="3" fontId="51" fillId="5" borderId="7" xfId="0" applyNumberFormat="1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2" fontId="3" fillId="0" borderId="7" xfId="0" applyNumberFormat="1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165" fontId="51" fillId="5" borderId="7" xfId="0" applyNumberFormat="1" applyFont="1" applyFill="1" applyBorder="1" applyAlignment="1">
      <alignment horizontal="left" vertical="center"/>
    </xf>
    <xf numFmtId="165" fontId="3" fillId="0" borderId="7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51" fillId="14" borderId="0" xfId="0" applyFont="1" applyFill="1" applyAlignment="1">
      <alignment horizontal="center" vertical="center"/>
    </xf>
    <xf numFmtId="46" fontId="3" fillId="4" borderId="0" xfId="0" applyNumberFormat="1" applyFont="1" applyFill="1" applyAlignment="1">
      <alignment horizontal="center" vertical="center"/>
    </xf>
    <xf numFmtId="10" fontId="3" fillId="4" borderId="0" xfId="0" applyNumberFormat="1" applyFont="1" applyFill="1" applyAlignment="1">
      <alignment horizontal="center" vertical="center"/>
    </xf>
    <xf numFmtId="0" fontId="3" fillId="0" borderId="0" xfId="0" pivotButton="1" applyFont="1" applyAlignment="1">
      <alignment horizontal="center" vertical="center"/>
    </xf>
    <xf numFmtId="0" fontId="53" fillId="14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51" fillId="13" borderId="0" xfId="0" applyFont="1" applyFill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164" fontId="50" fillId="4" borderId="0" xfId="0" applyNumberFormat="1" applyFon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52" fillId="6" borderId="0" xfId="0" applyFont="1" applyFill="1" applyAlignment="1">
      <alignment horizontal="center" vertical="center"/>
    </xf>
    <xf numFmtId="17" fontId="54" fillId="14" borderId="0" xfId="0" quotePrefix="1" applyNumberFormat="1" applyFont="1" applyFill="1" applyAlignment="1">
      <alignment horizontal="center" vertical="center"/>
    </xf>
    <xf numFmtId="0" fontId="7" fillId="5" borderId="15" xfId="0" applyFont="1" applyFill="1" applyBorder="1" applyAlignment="1">
      <alignment horizontal="left" vertical="center" textRotation="255"/>
    </xf>
    <xf numFmtId="0" fontId="1" fillId="0" borderId="0" xfId="0" applyFont="1" applyAlignment="1">
      <alignment horizontal="left" vertical="center"/>
    </xf>
    <xf numFmtId="0" fontId="42" fillId="2" borderId="22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4" fillId="6" borderId="4" xfId="0" applyFont="1" applyFill="1" applyBorder="1" applyAlignment="1">
      <alignment horizontal="left" vertical="center"/>
    </xf>
    <xf numFmtId="0" fontId="14" fillId="6" borderId="11" xfId="0" applyFont="1" applyFill="1" applyBorder="1" applyAlignment="1">
      <alignment horizontal="left" vertical="center"/>
    </xf>
    <xf numFmtId="0" fontId="14" fillId="6" borderId="5" xfId="0" applyFont="1" applyFill="1" applyBorder="1" applyAlignment="1">
      <alignment horizontal="left" vertical="center"/>
    </xf>
  </cellXfs>
  <cellStyles count="3">
    <cellStyle name="Hiperlink" xfId="1" builtinId="8"/>
    <cellStyle name="Hyperlink" xfId="2" xr:uid="{A28B0942-7AC2-424A-8E0C-1E4749708F6E}"/>
    <cellStyle name="Normal" xfId="0" builtinId="0"/>
  </cellStyles>
  <dxfs count="450"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strike val="0"/>
        <u val="double"/>
        <color auto="1"/>
      </font>
    </dxf>
    <dxf>
      <font>
        <b/>
        <i val="0"/>
        <strike val="0"/>
        <u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9" tint="0.79998168889431442"/>
        </patternFill>
      </fill>
    </dxf>
    <dxf>
      <font>
        <color theme="5" tint="-0.499984740745262"/>
      </font>
      <fill>
        <patternFill>
          <bgColor rgb="FFFFFFCC"/>
        </patternFill>
      </fill>
    </dxf>
    <dxf>
      <font>
        <color theme="6" tint="-0.499984740745262"/>
      </font>
      <fill>
        <patternFill>
          <bgColor theme="9" tint="0.79998168889431442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1"/>
      </font>
      <fill>
        <patternFill>
          <bgColor rgb="FFFFFFFF"/>
        </patternFill>
      </fill>
      <border>
        <bottom style="hair">
          <color auto="1"/>
        </bottom>
      </border>
    </dxf>
    <dxf>
      <font>
        <color rgb="FF663300"/>
      </font>
      <fill>
        <patternFill>
          <bgColor rgb="FFFFFFCC"/>
        </patternFill>
      </fill>
    </dxf>
    <dxf>
      <font>
        <color theme="6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 patternType="solid">
          <bgColor theme="6" tint="0.79998168889431442"/>
        </patternFill>
      </fill>
    </dxf>
    <dxf>
      <font>
        <color theme="4" tint="-0.499984740745262"/>
      </font>
      <fill>
        <patternFill>
          <bgColor theme="3" tint="0.89996032593768116"/>
        </patternFill>
      </fill>
    </dxf>
    <dxf>
      <font>
        <color theme="4" tint="-0.499984740745262"/>
      </font>
      <fill>
        <patternFill patternType="solid">
          <bgColor theme="7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8" tint="-0.499984740745262"/>
      </font>
      <fill>
        <patternFill patternType="solid">
          <bgColor rgb="FFFFD9FC"/>
        </patternFill>
      </fill>
    </dxf>
    <dxf>
      <font>
        <color rgb="FF663300"/>
      </font>
      <fill>
        <patternFill>
          <bgColor rgb="FFFFFFCC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b/>
        <i val="0"/>
        <color rgb="FF870101"/>
      </font>
    </dxf>
    <dxf>
      <font>
        <b/>
        <i val="0"/>
        <color auto="1"/>
      </font>
    </dxf>
    <dxf>
      <font>
        <b val="0"/>
        <i/>
        <strike val="0"/>
        <u val="none"/>
        <color auto="1"/>
      </font>
    </dxf>
    <dxf>
      <font>
        <color theme="9" tint="-0.499984740745262"/>
      </font>
      <fill>
        <patternFill>
          <bgColor theme="9" tint="0.79998168889431442"/>
        </patternFill>
      </fill>
    </dxf>
    <dxf>
      <font>
        <b/>
        <i/>
        <color rgb="FF663300"/>
      </font>
      <fill>
        <patternFill>
          <bgColor rgb="FFFFFFCC"/>
        </patternFill>
      </fill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4" formatCode="&quot;R$&quot;\ #,##0.0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  <border diagonalUp="0" diagonalDown="0">
        <left style="double">
          <color rgb="FF000000"/>
        </left>
        <right style="double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R$&quot;\ 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R$&quot;\ 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5" formatCode="hh:mm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>
        <left/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theme="9" tint="0.79998168889431442"/>
        </patternFill>
      </fill>
    </dxf>
    <dxf>
      <font>
        <b/>
      </font>
    </dxf>
    <dxf>
      <font>
        <b/>
      </font>
    </dxf>
    <dxf>
      <numFmt numFmtId="164" formatCode="&quot;R$&quot;\ #,##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" formatCode="0"/>
    </dxf>
    <dxf>
      <alignment horizontal="center"/>
    </dxf>
    <dxf>
      <fill>
        <patternFill patternType="solid">
          <bgColor theme="9" tint="0.79998168889431442"/>
        </patternFill>
      </fill>
    </dxf>
    <dxf>
      <font>
        <b/>
      </font>
    </dxf>
    <dxf>
      <font>
        <b/>
      </font>
    </dxf>
    <dxf>
      <numFmt numFmtId="164" formatCode="&quot;R$&quot;\ #,##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4" formatCode="&quot;R$&quot;\ #,##0.00"/>
    </dxf>
    <dxf>
      <numFmt numFmtId="164" formatCode="&quot;R$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numFmt numFmtId="1" formatCode="0"/>
    </dxf>
    <dxf>
      <alignment horizontal="center"/>
    </dxf>
    <dxf>
      <numFmt numFmtId="1" formatCode="0"/>
    </dxf>
    <dxf>
      <fill>
        <patternFill patternType="solid">
          <bgColor theme="9" tint="0.79998168889431442"/>
        </patternFill>
      </fill>
    </dxf>
    <dxf>
      <font>
        <b/>
      </font>
    </dxf>
    <dxf>
      <font>
        <b/>
      </font>
    </dxf>
    <dxf>
      <numFmt numFmtId="164" formatCode="&quot;R$&quot;\ #,##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border>
        <right/>
        <top/>
        <bottom/>
      </border>
    </dxf>
    <dxf>
      <border>
        <right/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fill>
        <patternFill patternType="solid">
          <bgColor theme="9" tint="0.79998168889431442"/>
        </patternFill>
      </fill>
    </dxf>
    <dxf>
      <font>
        <b/>
      </font>
    </dxf>
    <dxf>
      <font>
        <b/>
      </font>
    </dxf>
    <dxf>
      <numFmt numFmtId="164" formatCode="&quot;R$&quot;\ #,##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color theme="0"/>
      </font>
      <fill>
        <patternFill>
          <bgColor theme="6" tint="-0.499984740745262"/>
        </patternFill>
      </fill>
    </dxf>
  </dxfs>
  <tableStyles count="1" defaultTableStyle="JD" defaultPivotStyle="PivotStyleLight16">
    <tableStyle name="JD" pivot="0" count="1" xr9:uid="{E672CA73-22C0-4798-94C1-1C25F9451519}">
      <tableStyleElement type="headerRow" dxfId="449"/>
    </tableStyle>
  </tableStyles>
  <colors>
    <mruColors>
      <color rgb="FFFFFFCC"/>
      <color rgb="FFF2C400"/>
      <color rgb="FFFF9933"/>
      <color rgb="FFFFD9FC"/>
      <color rgb="FF870101"/>
      <color rgb="FFFFFFFF"/>
      <color rgb="FF66330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TRANSPORTE</a:t>
            </a:r>
            <a:r>
              <a:rPr lang="pt-BR" baseline="0"/>
              <a:t> MÁQUINAS - </a:t>
            </a:r>
            <a:r>
              <a:rPr lang="pt-BR"/>
              <a:t>META VS REAL</a:t>
            </a:r>
          </a:p>
        </c:rich>
      </c:tx>
      <c:layout>
        <c:manualLayout>
          <c:xMode val="edge"/>
          <c:yMode val="edge"/>
          <c:x val="0.3048391848042903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4441138892421938E-2"/>
          <c:y val="8.5867740852635113E-2"/>
          <c:w val="0.9311177222151561"/>
          <c:h val="0.707199959474305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CUSTOS!$A$12</c:f>
              <c:strCache>
                <c:ptCount val="1"/>
                <c:pt idx="0">
                  <c:v>Meta Frete 2026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667012977544473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9BF-447A-901A-48A6B7EAF556}"/>
                </c:ext>
              </c:extLst>
            </c:dLbl>
            <c:dLbl>
              <c:idx val="4"/>
              <c:layout>
                <c:manualLayout>
                  <c:x val="1.9764795817208943E-3"/>
                  <c:y val="-0.1026578448527267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9BF-447A-901A-48A6B7EAF556}"/>
                </c:ext>
              </c:extLst>
            </c:dLbl>
            <c:numFmt formatCode="&quot;R$&quot;\ #,##0" sourceLinked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CUSTOS!$B$11:$G$11</c:f>
              <c:strCache>
                <c:ptCount val="6"/>
                <c:pt idx="0">
                  <c:v>CARRETA</c:v>
                </c:pt>
                <c:pt idx="1">
                  <c:v>COLHEITADEIRA</c:v>
                </c:pt>
                <c:pt idx="2">
                  <c:v>PLANTADEIRA</c:v>
                </c:pt>
                <c:pt idx="3">
                  <c:v>PLATAFORMA</c:v>
                </c:pt>
                <c:pt idx="4">
                  <c:v>PULVERIZADOR</c:v>
                </c:pt>
                <c:pt idx="5">
                  <c:v>TRATOR</c:v>
                </c:pt>
              </c:strCache>
            </c:strRef>
          </c:cat>
          <c:val>
            <c:numRef>
              <c:f>CUSTOS!$B$12:$G$12</c:f>
              <c:numCache>
                <c:formatCode>"R$"\ #,##0.00</c:formatCode>
                <c:ptCount val="6"/>
                <c:pt idx="1">
                  <c:v>2200</c:v>
                </c:pt>
                <c:pt idx="2">
                  <c:v>1850</c:v>
                </c:pt>
                <c:pt idx="3">
                  <c:v>800</c:v>
                </c:pt>
                <c:pt idx="4">
                  <c:v>2000</c:v>
                </c:pt>
                <c:pt idx="5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F-447A-901A-48A6B7EAF5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361349952"/>
        <c:axId val="1361335072"/>
      </c:barChart>
      <c:barChart>
        <c:barDir val="col"/>
        <c:grouping val="stacked"/>
        <c:varyColors val="0"/>
        <c:ser>
          <c:idx val="1"/>
          <c:order val="1"/>
          <c:tx>
            <c:strRef>
              <c:f>CUSTOS!$A$13</c:f>
              <c:strCache>
                <c:ptCount val="1"/>
                <c:pt idx="0">
                  <c:v>Média (P+T)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FC000"/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1.1050706176943212E-17"/>
                  <c:y val="-4.39796587926509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BF-447A-901A-48A6B7EAF556}"/>
                </c:ext>
              </c:extLst>
            </c:dLbl>
            <c:numFmt formatCode="&quot;R$&quot;\ #,##0" sourceLinked="0"/>
            <c:spPr>
              <a:solidFill>
                <a:srgbClr val="FFFFCC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CUSTOS!$B$11:$G$11</c:f>
              <c:strCache>
                <c:ptCount val="6"/>
                <c:pt idx="0">
                  <c:v>CARRETA</c:v>
                </c:pt>
                <c:pt idx="1">
                  <c:v>COLHEITADEIRA</c:v>
                </c:pt>
                <c:pt idx="2">
                  <c:v>PLANTADEIRA</c:v>
                </c:pt>
                <c:pt idx="3">
                  <c:v>PLATAFORMA</c:v>
                </c:pt>
                <c:pt idx="4">
                  <c:v>PULVERIZADOR</c:v>
                </c:pt>
                <c:pt idx="5">
                  <c:v>TRATOR</c:v>
                </c:pt>
              </c:strCache>
            </c:strRef>
          </c:cat>
          <c:val>
            <c:numRef>
              <c:f>CUSTOS!$B$13:$G$13</c:f>
              <c:numCache>
                <c:formatCode>"R$"\ #,##0.00</c:formatCode>
                <c:ptCount val="6"/>
                <c:pt idx="0">
                  <c:v>300</c:v>
                </c:pt>
                <c:pt idx="1">
                  <c:v>1189.2857142857142</c:v>
                </c:pt>
                <c:pt idx="2">
                  <c:v>1561</c:v>
                </c:pt>
                <c:pt idx="3">
                  <c:v>495.83333333333331</c:v>
                </c:pt>
                <c:pt idx="4">
                  <c:v>3904</c:v>
                </c:pt>
                <c:pt idx="5">
                  <c:v>1106.3264150943396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F-447A-901A-48A6B7EAF5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992347968"/>
        <c:axId val="992345568"/>
      </c:barChart>
      <c:catAx>
        <c:axId val="136134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1335072"/>
        <c:crosses val="autoZero"/>
        <c:auto val="1"/>
        <c:lblAlgn val="ctr"/>
        <c:lblOffset val="100"/>
        <c:noMultiLvlLbl val="0"/>
      </c:catAx>
      <c:valAx>
        <c:axId val="1361335072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1349952"/>
        <c:crosses val="autoZero"/>
        <c:crossBetween val="between"/>
      </c:valAx>
      <c:valAx>
        <c:axId val="992345568"/>
        <c:scaling>
          <c:orientation val="minMax"/>
        </c:scaling>
        <c:delete val="0"/>
        <c:axPos val="r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2347968"/>
        <c:crosses val="max"/>
        <c:crossBetween val="between"/>
      </c:valAx>
      <c:catAx>
        <c:axId val="992347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2345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777151776245487"/>
          <c:y val="0.91103234452188941"/>
          <c:w val="0.27746960953156768"/>
          <c:h val="8.8968396567826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720" b="1" i="0" u="none" strike="noStrike" kern="1200" cap="none" spc="20" baseline="0">
                <a:solidFill>
                  <a:sysClr val="windowText" lastClr="000000"/>
                </a:solidFill>
              </a:rPr>
              <a:t>TRANSPORTE MÁQUINAS - CUSTO POR TIPO</a:t>
            </a:r>
          </a:p>
        </c:rich>
      </c:tx>
      <c:layout>
        <c:manualLayout>
          <c:xMode val="edge"/>
          <c:yMode val="edge"/>
          <c:x val="0.308197781009857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CC"/>
          </a:solidFill>
          <a:ln w="9525" cap="flat" cmpd="sng" algn="ctr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49236965695691E-2"/>
          <c:y val="0.15299355488873348"/>
          <c:w val="0.96549507081806285"/>
          <c:h val="0.6445126307635614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CUSTOS!$B$17</c:f>
              <c:strCache>
                <c:ptCount val="1"/>
                <c:pt idx="0">
                  <c:v>Soma Proprio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CUSTOS!$A$18:$A$23</c:f>
              <c:strCache>
                <c:ptCount val="6"/>
                <c:pt idx="0">
                  <c:v>TRATOR</c:v>
                </c:pt>
                <c:pt idx="1">
                  <c:v>PULVERIZADOR</c:v>
                </c:pt>
                <c:pt idx="2">
                  <c:v>COLHEITADEIRA</c:v>
                </c:pt>
                <c:pt idx="3">
                  <c:v>PLATAFORMA</c:v>
                </c:pt>
                <c:pt idx="4">
                  <c:v>PLANTADEIRA</c:v>
                </c:pt>
                <c:pt idx="5">
                  <c:v>CARRETA</c:v>
                </c:pt>
              </c:strCache>
            </c:strRef>
          </c:cat>
          <c:val>
            <c:numRef>
              <c:f>CUSTOS!$B$18:$B$23</c:f>
              <c:numCache>
                <c:formatCode>"R$"\ #,##0.00</c:formatCode>
                <c:ptCount val="6"/>
                <c:pt idx="0">
                  <c:v>39546</c:v>
                </c:pt>
                <c:pt idx="1">
                  <c:v>2112</c:v>
                </c:pt>
                <c:pt idx="2">
                  <c:v>9700</c:v>
                </c:pt>
                <c:pt idx="3">
                  <c:v>2600</c:v>
                </c:pt>
                <c:pt idx="4">
                  <c:v>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E-4FF1-8B84-1802627C8FB4}"/>
            </c:ext>
          </c:extLst>
        </c:ser>
        <c:ser>
          <c:idx val="1"/>
          <c:order val="1"/>
          <c:tx>
            <c:strRef>
              <c:f>CUSTOS!$C$17</c:f>
              <c:strCache>
                <c:ptCount val="1"/>
                <c:pt idx="0">
                  <c:v>Soma Terceiro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FC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CUSTOS!$A$18:$A$23</c:f>
              <c:strCache>
                <c:ptCount val="6"/>
                <c:pt idx="0">
                  <c:v>TRATOR</c:v>
                </c:pt>
                <c:pt idx="1">
                  <c:v>PULVERIZADOR</c:v>
                </c:pt>
                <c:pt idx="2">
                  <c:v>COLHEITADEIRA</c:v>
                </c:pt>
                <c:pt idx="3">
                  <c:v>PLATAFORMA</c:v>
                </c:pt>
                <c:pt idx="4">
                  <c:v>PLANTADEIRA</c:v>
                </c:pt>
                <c:pt idx="5">
                  <c:v>CARRETA</c:v>
                </c:pt>
              </c:strCache>
            </c:strRef>
          </c:cat>
          <c:val>
            <c:numRef>
              <c:f>CUSTOS!$C$18:$C$23</c:f>
              <c:numCache>
                <c:formatCode>"R$"\ #,##0.00</c:formatCode>
                <c:ptCount val="6"/>
                <c:pt idx="0">
                  <c:v>19089.3</c:v>
                </c:pt>
                <c:pt idx="1">
                  <c:v>9600</c:v>
                </c:pt>
                <c:pt idx="2">
                  <c:v>6950</c:v>
                </c:pt>
                <c:pt idx="3">
                  <c:v>3350</c:v>
                </c:pt>
                <c:pt idx="4">
                  <c:v>2000</c:v>
                </c:pt>
                <c:pt idx="5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E-4FF1-8B84-1802627C8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89200928"/>
        <c:axId val="989184608"/>
      </c:barChart>
      <c:lineChart>
        <c:grouping val="percentStacked"/>
        <c:varyColors val="0"/>
        <c:ser>
          <c:idx val="2"/>
          <c:order val="2"/>
          <c:tx>
            <c:strRef>
              <c:f>CUSTOS!$D$17</c:f>
              <c:strCache>
                <c:ptCount val="1"/>
                <c:pt idx="0">
                  <c:v>Qtd Frete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CUSTOS!$A$18:$A$23</c:f>
              <c:strCache>
                <c:ptCount val="6"/>
                <c:pt idx="0">
                  <c:v>TRATOR</c:v>
                </c:pt>
                <c:pt idx="1">
                  <c:v>PULVERIZADOR</c:v>
                </c:pt>
                <c:pt idx="2">
                  <c:v>COLHEITADEIRA</c:v>
                </c:pt>
                <c:pt idx="3">
                  <c:v>PLATAFORMA</c:v>
                </c:pt>
                <c:pt idx="4">
                  <c:v>PLANTADEIRA</c:v>
                </c:pt>
                <c:pt idx="5">
                  <c:v>CARRETA</c:v>
                </c:pt>
              </c:strCache>
            </c:strRef>
          </c:cat>
          <c:val>
            <c:numRef>
              <c:f>CUSTOS!$D$18:$D$23</c:f>
              <c:numCache>
                <c:formatCode>0</c:formatCode>
                <c:ptCount val="6"/>
                <c:pt idx="0">
                  <c:v>55</c:v>
                </c:pt>
                <c:pt idx="1">
                  <c:v>3</c:v>
                </c:pt>
                <c:pt idx="2">
                  <c:v>15</c:v>
                </c:pt>
                <c:pt idx="3">
                  <c:v>12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0E-4FF1-8B84-1802627C8F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9819808"/>
        <c:axId val="1009827008"/>
      </c:lineChart>
      <c:catAx>
        <c:axId val="98920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9184608"/>
        <c:crosses val="autoZero"/>
        <c:auto val="1"/>
        <c:lblAlgn val="ctr"/>
        <c:lblOffset val="100"/>
        <c:noMultiLvlLbl val="0"/>
      </c:catAx>
      <c:valAx>
        <c:axId val="989184608"/>
        <c:scaling>
          <c:logBase val="1000"/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9200928"/>
        <c:crosses val="autoZero"/>
        <c:crossBetween val="between"/>
      </c:valAx>
      <c:valAx>
        <c:axId val="100982700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819808"/>
        <c:crosses val="max"/>
        <c:crossBetween val="between"/>
      </c:valAx>
      <c:catAx>
        <c:axId val="1009819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9827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08870771423387"/>
          <c:y val="0.91562093420270885"/>
          <c:w val="0.55743736412761824"/>
          <c:h val="8.4379208743349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TRANSPORTE MÁQUINAS - CUSTO</a:t>
            </a:r>
            <a:r>
              <a:rPr lang="pt-BR" baseline="0"/>
              <a:t> COM TERCEIROS</a:t>
            </a:r>
            <a:endParaRPr lang="pt-BR"/>
          </a:p>
        </c:rich>
      </c:tx>
      <c:layout>
        <c:manualLayout>
          <c:xMode val="edge"/>
          <c:yMode val="edge"/>
          <c:x val="0.271966128766905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CC"/>
          </a:solidFill>
          <a:ln w="9525" cap="flat" cmpd="sng" algn="ctr">
            <a:solidFill>
              <a:srgbClr val="F2C4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822426617594345"/>
          <c:y val="0.13499116559882435"/>
          <c:w val="0.797141700951567"/>
          <c:h val="0.7546030115660411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CUSTOS!$B$28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CUSTOS!$A$29:$A$36</c:f>
              <c:strCache>
                <c:ptCount val="8"/>
                <c:pt idx="0">
                  <c:v>TERCEIRO MAZETTO</c:v>
                </c:pt>
                <c:pt idx="1">
                  <c:v>TERCEIRO COLOMBO</c:v>
                </c:pt>
                <c:pt idx="2">
                  <c:v>TERCEIRO AGROMAQ</c:v>
                </c:pt>
                <c:pt idx="3">
                  <c:v>TERCEIRO ZORTEA</c:v>
                </c:pt>
                <c:pt idx="4">
                  <c:v>TERCEIRO DEMETRIO</c:v>
                </c:pt>
                <c:pt idx="5">
                  <c:v>TERCEIRO NELSON</c:v>
                </c:pt>
                <c:pt idx="6">
                  <c:v>TERCEIRO JAPONES</c:v>
                </c:pt>
                <c:pt idx="7">
                  <c:v>TERCEIRO STOSKI</c:v>
                </c:pt>
              </c:strCache>
            </c:strRef>
          </c:cat>
          <c:val>
            <c:numRef>
              <c:f>CUSTOS!$B$29:$B$36</c:f>
              <c:numCache>
                <c:formatCode>"R$"\ #,##0.00</c:formatCode>
                <c:ptCount val="8"/>
                <c:pt idx="0">
                  <c:v>12051.3</c:v>
                </c:pt>
                <c:pt idx="1">
                  <c:v>9600</c:v>
                </c:pt>
                <c:pt idx="2">
                  <c:v>7200</c:v>
                </c:pt>
                <c:pt idx="3">
                  <c:v>5400</c:v>
                </c:pt>
                <c:pt idx="4">
                  <c:v>2830</c:v>
                </c:pt>
                <c:pt idx="5">
                  <c:v>2270</c:v>
                </c:pt>
                <c:pt idx="6">
                  <c:v>1328</c:v>
                </c:pt>
                <c:pt idx="7">
                  <c:v>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6-4567-9380-4AD1DF5729D3}"/>
            </c:ext>
          </c:extLst>
        </c:ser>
        <c:ser>
          <c:idx val="1"/>
          <c:order val="1"/>
          <c:tx>
            <c:strRef>
              <c:f>CUSTOS!$C$28</c:f>
              <c:strCache>
                <c:ptCount val="1"/>
                <c:pt idx="0">
                  <c:v>Total KM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2C4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CUSTOS!$A$29:$A$36</c:f>
              <c:strCache>
                <c:ptCount val="8"/>
                <c:pt idx="0">
                  <c:v>TERCEIRO MAZETTO</c:v>
                </c:pt>
                <c:pt idx="1">
                  <c:v>TERCEIRO COLOMBO</c:v>
                </c:pt>
                <c:pt idx="2">
                  <c:v>TERCEIRO AGROMAQ</c:v>
                </c:pt>
                <c:pt idx="3">
                  <c:v>TERCEIRO ZORTEA</c:v>
                </c:pt>
                <c:pt idx="4">
                  <c:v>TERCEIRO DEMETRIO</c:v>
                </c:pt>
                <c:pt idx="5">
                  <c:v>TERCEIRO NELSON</c:v>
                </c:pt>
                <c:pt idx="6">
                  <c:v>TERCEIRO JAPONES</c:v>
                </c:pt>
                <c:pt idx="7">
                  <c:v>TERCEIRO STOSKI</c:v>
                </c:pt>
              </c:strCache>
            </c:strRef>
          </c:cat>
          <c:val>
            <c:numRef>
              <c:f>CUSTOS!$C$29:$C$36</c:f>
              <c:numCache>
                <c:formatCode>0</c:formatCode>
                <c:ptCount val="8"/>
                <c:pt idx="0">
                  <c:v>1914</c:v>
                </c:pt>
                <c:pt idx="1">
                  <c:v>733</c:v>
                </c:pt>
                <c:pt idx="2">
                  <c:v>1374</c:v>
                </c:pt>
                <c:pt idx="3">
                  <c:v>956</c:v>
                </c:pt>
                <c:pt idx="4">
                  <c:v>748</c:v>
                </c:pt>
                <c:pt idx="5">
                  <c:v>315</c:v>
                </c:pt>
                <c:pt idx="6">
                  <c:v>166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6-4567-9380-4AD1DF572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93349503"/>
        <c:axId val="793366783"/>
      </c:barChart>
      <c:catAx>
        <c:axId val="7933495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3366783"/>
        <c:crosses val="autoZero"/>
        <c:auto val="1"/>
        <c:lblAlgn val="ctr"/>
        <c:lblOffset val="100"/>
        <c:noMultiLvlLbl val="0"/>
      </c:catAx>
      <c:valAx>
        <c:axId val="793366783"/>
        <c:scaling>
          <c:logBase val="10"/>
          <c:orientation val="minMax"/>
        </c:scaling>
        <c:delete val="0"/>
        <c:axPos val="t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334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447948365109404"/>
          <c:y val="0.94153217611531181"/>
          <c:w val="0.20582679653568217"/>
          <c:h val="5.8468591596659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[LOGISTICA2026.xlsx]CUSTOS!G04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CUSTOS - UTILIZAÇÃO DE MUNCK</a:t>
            </a:r>
          </a:p>
        </c:rich>
      </c:tx>
      <c:layout>
        <c:manualLayout>
          <c:xMode val="edge"/>
          <c:yMode val="edge"/>
          <c:x val="1.8410995832690584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1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8000"/>
                  <a:lumMod val="110000"/>
                  <a:satMod val="105000"/>
                  <a:tint val="67000"/>
                </a:schemeClr>
              </a:gs>
              <a:gs pos="50000">
                <a:schemeClr val="accent6">
                  <a:shade val="58000"/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shade val="58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58000"/>
                <a:shade val="95000"/>
              </a:schemeClr>
            </a:solidFill>
            <a:round/>
          </a:ln>
          <a:effectLst/>
        </c:spPr>
      </c:pivotFmt>
      <c:pivotFmt>
        <c:idx val="2"/>
        <c:spPr>
          <a:gradFill rotWithShape="1">
            <a:gsLst>
              <a:gs pos="0">
                <a:schemeClr val="accent6">
                  <a:shade val="86000"/>
                  <a:lumMod val="110000"/>
                  <a:satMod val="105000"/>
                  <a:tint val="67000"/>
                </a:schemeClr>
              </a:gs>
              <a:gs pos="50000">
                <a:schemeClr val="accent6">
                  <a:shade val="86000"/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shade val="86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86000"/>
                <a:shade val="95000"/>
              </a:schemeClr>
            </a:solidFill>
            <a:round/>
          </a:ln>
          <a:effectLst/>
        </c:spPr>
      </c:pivotFmt>
      <c:pivotFmt>
        <c:idx val="3"/>
        <c:spPr>
          <a:gradFill rotWithShape="1">
            <a:gsLst>
              <a:gs pos="0">
                <a:schemeClr val="accent6">
                  <a:tint val="86000"/>
                  <a:lumMod val="110000"/>
                  <a:satMod val="105000"/>
                  <a:tint val="67000"/>
                </a:schemeClr>
              </a:gs>
              <a:gs pos="50000">
                <a:schemeClr val="accent6">
                  <a:tint val="86000"/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tint val="86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tint val="86000"/>
                <a:shade val="95000"/>
              </a:schemeClr>
            </a:solidFill>
            <a:round/>
          </a:ln>
          <a:effectLst/>
        </c:spPr>
      </c:pivotFmt>
      <c:pivotFmt>
        <c:idx val="4"/>
        <c:spPr>
          <a:gradFill rotWithShape="1">
            <a:gsLst>
              <a:gs pos="0">
                <a:schemeClr val="accent6">
                  <a:tint val="58000"/>
                  <a:lumMod val="110000"/>
                  <a:satMod val="105000"/>
                  <a:tint val="67000"/>
                </a:schemeClr>
              </a:gs>
              <a:gs pos="50000">
                <a:schemeClr val="accent6">
                  <a:tint val="58000"/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tint val="58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tint val="58000"/>
                <a:shade val="95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6426712441443015"/>
          <c:y val="0.16418452030487213"/>
          <c:w val="0.3184278921838844"/>
          <c:h val="0.82875356865717953"/>
        </c:manualLayout>
      </c:layout>
      <c:pieChart>
        <c:varyColors val="1"/>
        <c:ser>
          <c:idx val="0"/>
          <c:order val="0"/>
          <c:tx>
            <c:strRef>
              <c:f>CUSTOS!$B$46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shade val="5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shade val="5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5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C1-4C31-AB9C-6247ECC72EF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hade val="8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shade val="8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shade val="8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8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C1-4C31-AB9C-6247ECC72EF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8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tint val="8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tint val="8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tint val="8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C1-4C31-AB9C-6247ECC72EF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tint val="5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tint val="5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tint val="5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tint val="5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C1-4C31-AB9C-6247ECC72E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CUSTOS!$A$47:$A$51</c:f>
              <c:strCache>
                <c:ptCount val="4"/>
                <c:pt idx="0">
                  <c:v>ARAPOTI</c:v>
                </c:pt>
                <c:pt idx="1">
                  <c:v>IRATI</c:v>
                </c:pt>
                <c:pt idx="2">
                  <c:v>PG</c:v>
                </c:pt>
                <c:pt idx="3">
                  <c:v>GRPVA</c:v>
                </c:pt>
              </c:strCache>
            </c:strRef>
          </c:cat>
          <c:val>
            <c:numRef>
              <c:f>CUSTOS!$B$47:$B$51</c:f>
              <c:numCache>
                <c:formatCode>"R$"\ #,##0.00</c:formatCode>
                <c:ptCount val="4"/>
                <c:pt idx="0">
                  <c:v>2745</c:v>
                </c:pt>
                <c:pt idx="1">
                  <c:v>1262</c:v>
                </c:pt>
                <c:pt idx="2">
                  <c:v>440</c:v>
                </c:pt>
                <c:pt idx="3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B-45E7-9128-CE5A4672A6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 PEÇAS - CUSTO COURIER POR LOJA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CUSTOS!$E$46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CUSTOS!$D$47:$D$54</c:f>
              <c:strCache>
                <c:ptCount val="7"/>
                <c:pt idx="0">
                  <c:v>PG</c:v>
                </c:pt>
                <c:pt idx="1">
                  <c:v>CASTRO</c:v>
                </c:pt>
                <c:pt idx="2">
                  <c:v>GRPVA</c:v>
                </c:pt>
                <c:pt idx="3">
                  <c:v>TIBAGI</c:v>
                </c:pt>
                <c:pt idx="4">
                  <c:v>PRUDE</c:v>
                </c:pt>
                <c:pt idx="5">
                  <c:v>ARAPOTI</c:v>
                </c:pt>
                <c:pt idx="6">
                  <c:v>IRATI</c:v>
                </c:pt>
              </c:strCache>
            </c:strRef>
          </c:cat>
          <c:val>
            <c:numRef>
              <c:f>CUSTOS!$E$47:$E$54</c:f>
              <c:numCache>
                <c:formatCode>"R$"\ #,##0.00</c:formatCode>
                <c:ptCount val="7"/>
                <c:pt idx="0">
                  <c:v>9345.619999999999</c:v>
                </c:pt>
                <c:pt idx="1">
                  <c:v>4770</c:v>
                </c:pt>
                <c:pt idx="2">
                  <c:v>1800</c:v>
                </c:pt>
                <c:pt idx="3">
                  <c:v>1760</c:v>
                </c:pt>
                <c:pt idx="4">
                  <c:v>1095</c:v>
                </c:pt>
                <c:pt idx="5">
                  <c:v>990</c:v>
                </c:pt>
                <c:pt idx="6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A-4FBB-B4CC-B7D7D077D0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4"/>
        <c:axId val="973360192"/>
        <c:axId val="973351552"/>
      </c:barChart>
      <c:catAx>
        <c:axId val="9733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351552"/>
        <c:crosses val="autoZero"/>
        <c:auto val="1"/>
        <c:lblAlgn val="ctr"/>
        <c:lblOffset val="100"/>
        <c:noMultiLvlLbl val="0"/>
      </c:catAx>
      <c:valAx>
        <c:axId val="973351552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97336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 PEÇAS - CUSTO TRANSPORTADORA POR LOJA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CUSTOS!$H$46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CUSTOS!$G$47:$G$54</c:f>
              <c:strCache>
                <c:ptCount val="7"/>
                <c:pt idx="0">
                  <c:v>PG</c:v>
                </c:pt>
                <c:pt idx="1">
                  <c:v>ARAPOTI</c:v>
                </c:pt>
                <c:pt idx="2">
                  <c:v>GRPVA</c:v>
                </c:pt>
                <c:pt idx="3">
                  <c:v>CASTRO</c:v>
                </c:pt>
                <c:pt idx="4">
                  <c:v>TIBAGI</c:v>
                </c:pt>
                <c:pt idx="5">
                  <c:v>IRATI</c:v>
                </c:pt>
                <c:pt idx="6">
                  <c:v>PRUDE</c:v>
                </c:pt>
              </c:strCache>
            </c:strRef>
          </c:cat>
          <c:val>
            <c:numRef>
              <c:f>CUSTOS!$H$47:$H$54</c:f>
              <c:numCache>
                <c:formatCode>"R$"\ #,##0.00</c:formatCode>
                <c:ptCount val="7"/>
                <c:pt idx="0">
                  <c:v>7231.9999999999991</c:v>
                </c:pt>
                <c:pt idx="1">
                  <c:v>1100</c:v>
                </c:pt>
                <c:pt idx="2">
                  <c:v>1100</c:v>
                </c:pt>
                <c:pt idx="3">
                  <c:v>850</c:v>
                </c:pt>
                <c:pt idx="4">
                  <c:v>830</c:v>
                </c:pt>
                <c:pt idx="5">
                  <c:v>602</c:v>
                </c:pt>
                <c:pt idx="6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6-4075-A847-861B3A058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4"/>
        <c:axId val="1040574160"/>
        <c:axId val="1040574640"/>
      </c:barChart>
      <c:catAx>
        <c:axId val="104057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574640"/>
        <c:crosses val="autoZero"/>
        <c:auto val="1"/>
        <c:lblAlgn val="ctr"/>
        <c:lblOffset val="100"/>
        <c:noMultiLvlLbl val="0"/>
      </c:catAx>
      <c:valAx>
        <c:axId val="1040574640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405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 PEÇAS - CUSTO COURIER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546590983900344E-2"/>
          <c:y val="0.20747840685647267"/>
          <c:w val="0.94890681803219934"/>
          <c:h val="0.565772259987971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CUSTOS!$B$61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CUSTOS!$A$62:$A$70</c:f>
              <c:strCache>
                <c:ptCount val="8"/>
                <c:pt idx="0">
                  <c:v>DELTA MOTOS COURIER</c:v>
                </c:pt>
                <c:pt idx="1">
                  <c:v>JOSEAMILTON1 COURIER</c:v>
                </c:pt>
                <c:pt idx="2">
                  <c:v>MARCOS D. COURIER</c:v>
                </c:pt>
                <c:pt idx="3">
                  <c:v>UNIBOY COURIER</c:v>
                </c:pt>
                <c:pt idx="4">
                  <c:v>PRINCESA -TR PEÇA</c:v>
                </c:pt>
                <c:pt idx="5">
                  <c:v>JORGE LUIZ 2 COURIER</c:v>
                </c:pt>
                <c:pt idx="6">
                  <c:v>ANDREIA R. COURIER</c:v>
                </c:pt>
                <c:pt idx="7">
                  <c:v>JOHN ELVIS COURIER</c:v>
                </c:pt>
              </c:strCache>
            </c:strRef>
          </c:cat>
          <c:val>
            <c:numRef>
              <c:f>CUSTOS!$B$62:$B$70</c:f>
              <c:numCache>
                <c:formatCode>"R$"\ #,##0.00</c:formatCode>
                <c:ptCount val="8"/>
                <c:pt idx="0">
                  <c:v>11420</c:v>
                </c:pt>
                <c:pt idx="1">
                  <c:v>2390</c:v>
                </c:pt>
                <c:pt idx="2">
                  <c:v>1970</c:v>
                </c:pt>
                <c:pt idx="3">
                  <c:v>1860</c:v>
                </c:pt>
                <c:pt idx="4">
                  <c:v>900.62</c:v>
                </c:pt>
                <c:pt idx="5">
                  <c:v>880</c:v>
                </c:pt>
                <c:pt idx="6">
                  <c:v>550</c:v>
                </c:pt>
                <c:pt idx="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4-4287-B826-12727B8721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4"/>
        <c:axId val="1009820768"/>
        <c:axId val="1009824128"/>
      </c:barChart>
      <c:catAx>
        <c:axId val="100982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824128"/>
        <c:crosses val="autoZero"/>
        <c:auto val="1"/>
        <c:lblAlgn val="ctr"/>
        <c:lblOffset val="100"/>
        <c:noMultiLvlLbl val="0"/>
      </c:catAx>
      <c:valAx>
        <c:axId val="1009824128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098207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[LOGISTICA2026.xlsx]CUSTOS!G08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 PEÇAS - CUSTO TRANSPORTADORA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CUSTOS!$E$61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CUSTOS!$D$62:$D$66</c:f>
              <c:strCache>
                <c:ptCount val="4"/>
                <c:pt idx="0">
                  <c:v>CARGADEDICADA -TR PEÇA</c:v>
                </c:pt>
                <c:pt idx="1">
                  <c:v>ESC -TR PEÇA</c:v>
                </c:pt>
                <c:pt idx="2">
                  <c:v>PRINCESA -TR PEÇA</c:v>
                </c:pt>
                <c:pt idx="3">
                  <c:v>TX LOG -TR PEÇA</c:v>
                </c:pt>
              </c:strCache>
            </c:strRef>
          </c:cat>
          <c:val>
            <c:numRef>
              <c:f>CUSTOS!$E$62:$E$66</c:f>
              <c:numCache>
                <c:formatCode>"R$"\ #,##0.00</c:formatCode>
                <c:ptCount val="4"/>
                <c:pt idx="0">
                  <c:v>6190.03</c:v>
                </c:pt>
                <c:pt idx="1">
                  <c:v>5580</c:v>
                </c:pt>
                <c:pt idx="2">
                  <c:v>441.97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6-40B1-8E5E-17997A07FA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4"/>
        <c:axId val="1040565520"/>
        <c:axId val="1040551600"/>
      </c:barChart>
      <c:catAx>
        <c:axId val="104056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551600"/>
        <c:crosses val="autoZero"/>
        <c:auto val="1"/>
        <c:lblAlgn val="ctr"/>
        <c:lblOffset val="100"/>
        <c:noMultiLvlLbl val="0"/>
      </c:catAx>
      <c:valAx>
        <c:axId val="1040551600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4056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[LOGISTICA2026.xlsx]CUSTOS!Tabela dinâmica11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CUSTOS DAF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FFFFCC"/>
          </a:solidFill>
          <a:ln w="9525" cap="flat" cmpd="sng" algn="ctr">
            <a:solidFill>
              <a:srgbClr val="F2C4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CUSTOS!$H$60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2C4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CUSTOS!$G$61:$G$63</c:f>
              <c:strCache>
                <c:ptCount val="2"/>
                <c:pt idx="0">
                  <c:v>DAF Implemento</c:v>
                </c:pt>
                <c:pt idx="1">
                  <c:v>DAF Multa</c:v>
                </c:pt>
              </c:strCache>
            </c:strRef>
          </c:cat>
          <c:val>
            <c:numRef>
              <c:f>CUSTOS!$H$61:$H$63</c:f>
              <c:numCache>
                <c:formatCode>"R$"\ #,##0.00</c:formatCode>
                <c:ptCount val="2"/>
                <c:pt idx="0">
                  <c:v>4175</c:v>
                </c:pt>
                <c:pt idx="1">
                  <c:v>250.79000000000002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7-4358-9B8F-1263253AC5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662463776"/>
        <c:axId val="1662464256"/>
      </c:barChart>
      <c:catAx>
        <c:axId val="166246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2464256"/>
        <c:crosses val="autoZero"/>
        <c:auto val="1"/>
        <c:lblAlgn val="ctr"/>
        <c:lblOffset val="100"/>
        <c:noMultiLvlLbl val="0"/>
      </c:catAx>
      <c:valAx>
        <c:axId val="1662464256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66246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[LOGISTICA2026.xlsx]CUSTOS!G10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APROXIMADO DE CUSTOS COM TRANSPORTE VS KM RODADO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CC"/>
          </a:solidFill>
          <a:ln w="9525" cap="flat" cmpd="sng" algn="ctr">
            <a:solidFill>
              <a:srgbClr val="F2C4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11652713358266"/>
          <c:y val="0.2236481734253154"/>
          <c:w val="0.826378264449391"/>
          <c:h val="0.6182241211615001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CUSTOS!$B$85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CUSTOS!$A$86:$A$87</c:f>
              <c:strCache>
                <c:ptCount val="2"/>
                <c:pt idx="0">
                  <c:v>PROPRIO VW</c:v>
                </c:pt>
                <c:pt idx="1">
                  <c:v>PROPRIO DAF</c:v>
                </c:pt>
              </c:strCache>
            </c:strRef>
          </c:cat>
          <c:val>
            <c:numRef>
              <c:f>CUSTOS!$B$86:$B$87</c:f>
              <c:numCache>
                <c:formatCode>"R$"\ #,##0.00</c:formatCode>
                <c:ptCount val="2"/>
                <c:pt idx="0">
                  <c:v>15228</c:v>
                </c:pt>
                <c:pt idx="1">
                  <c:v>13966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B-407E-A589-4EDA6B4B1AE7}"/>
            </c:ext>
          </c:extLst>
        </c:ser>
        <c:ser>
          <c:idx val="2"/>
          <c:order val="1"/>
          <c:tx>
            <c:strRef>
              <c:f>CUSTOS!$C$85</c:f>
              <c:strCache>
                <c:ptCount val="1"/>
                <c:pt idx="0">
                  <c:v>QTD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CUSTOS!$A$86:$A$87</c:f>
              <c:strCache>
                <c:ptCount val="2"/>
                <c:pt idx="0">
                  <c:v>PROPRIO VW</c:v>
                </c:pt>
                <c:pt idx="1">
                  <c:v>PROPRIO DAF</c:v>
                </c:pt>
              </c:strCache>
            </c:strRef>
          </c:cat>
          <c:val>
            <c:numRef>
              <c:f>CUSTOS!$C$86:$C$87</c:f>
              <c:numCache>
                <c:formatCode>0</c:formatCode>
                <c:ptCount val="2"/>
                <c:pt idx="0">
                  <c:v>15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CB-407E-A589-4EDA6B4B1AE7}"/>
            </c:ext>
          </c:extLst>
        </c:ser>
        <c:ser>
          <c:idx val="1"/>
          <c:order val="2"/>
          <c:tx>
            <c:strRef>
              <c:f>CUSTOS!$D$85</c:f>
              <c:strCache>
                <c:ptCount val="1"/>
                <c:pt idx="0">
                  <c:v>KMs</c:v>
                </c:pt>
              </c:strCache>
            </c:strRef>
          </c:tx>
          <c:spPr>
            <a:solidFill>
              <a:srgbClr val="FFFFCC"/>
            </a:solidFill>
            <a:ln w="9525" cap="flat" cmpd="sng" algn="ctr">
              <a:solidFill>
                <a:srgbClr val="F2C4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CUSTOS!$A$86:$A$87</c:f>
              <c:strCache>
                <c:ptCount val="2"/>
                <c:pt idx="0">
                  <c:v>PROPRIO VW</c:v>
                </c:pt>
                <c:pt idx="1">
                  <c:v>PROPRIO DAF</c:v>
                </c:pt>
              </c:strCache>
            </c:strRef>
          </c:cat>
          <c:val>
            <c:numRef>
              <c:f>CUSTOS!$D$86:$D$87</c:f>
              <c:numCache>
                <c:formatCode>0</c:formatCode>
                <c:ptCount val="2"/>
                <c:pt idx="0">
                  <c:v>2538</c:v>
                </c:pt>
                <c:pt idx="1">
                  <c:v>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CB-407E-A589-4EDA6B4B1A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922358736"/>
        <c:axId val="1922362096"/>
      </c:barChart>
      <c:catAx>
        <c:axId val="1922358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362096"/>
        <c:crosses val="autoZero"/>
        <c:auto val="1"/>
        <c:lblAlgn val="ctr"/>
        <c:lblOffset val="100"/>
        <c:noMultiLvlLbl val="0"/>
      </c:catAx>
      <c:valAx>
        <c:axId val="1922362096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92235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42000109845278855"/>
          <c:y val="0.87758904581490993"/>
          <c:w val="0.14053091687011737"/>
          <c:h val="0.12241097265672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0777290124348433"/>
          <c:y val="0.12963643978378953"/>
          <c:w val="0.40571463282343362"/>
          <c:h val="0.83295044628149495"/>
        </c:manualLayout>
      </c:layout>
      <c:pieChart>
        <c:varyColors val="1"/>
        <c:ser>
          <c:idx val="0"/>
          <c:order val="0"/>
          <c:tx>
            <c:strRef>
              <c:f>CUSTOS!$B$90</c:f>
              <c:strCache>
                <c:ptCount val="1"/>
                <c:pt idx="0">
                  <c:v>APROVEITAMENTO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525" cap="flat" cmpd="sng" algn="ctr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FD-48DE-9DE7-8FE2D707A97C}"/>
              </c:ext>
            </c:extLst>
          </c:dPt>
          <c:dPt>
            <c:idx val="1"/>
            <c:bubble3D val="0"/>
            <c:spPr>
              <a:solidFill>
                <a:srgbClr val="FFFFCC"/>
              </a:solidFill>
              <a:ln w="9525" cap="flat" cmpd="sng" algn="ctr">
                <a:solidFill>
                  <a:srgbClr val="F2C4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FD-48DE-9DE7-8FE2D707A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CUSTOS!$A$91:$A$92</c:f>
              <c:strCache>
                <c:ptCount val="2"/>
                <c:pt idx="0">
                  <c:v>PROPRIO VW</c:v>
                </c:pt>
                <c:pt idx="1">
                  <c:v>PROPRIO DAF</c:v>
                </c:pt>
              </c:strCache>
            </c:strRef>
          </c:cat>
          <c:val>
            <c:numRef>
              <c:f>CUSTOS!$B$91:$B$92</c:f>
              <c:numCache>
                <c:formatCode>0.00%</c:formatCode>
                <c:ptCount val="2"/>
                <c:pt idx="0">
                  <c:v>0.52874999999999994</c:v>
                </c:pt>
                <c:pt idx="1">
                  <c:v>0.77109375000000002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D-48DE-9DE7-8FE2D707A9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[LOGISTICA2026.xlsx]CUSTOS!Tabela dinâmica12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CUSTOS VW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 w="9525" cap="flat" cmpd="sng" algn="ctr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CUSTOS!$H$73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9525" cap="flat" cmpd="sng" algn="ctr">
              <a:solidFill>
                <a:srgbClr val="00B05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CUSTOS!$G$74:$G$78</c:f>
              <c:strCache>
                <c:ptCount val="4"/>
                <c:pt idx="0">
                  <c:v>VW Implemento</c:v>
                </c:pt>
                <c:pt idx="1">
                  <c:v>VW Licença DER AET</c:v>
                </c:pt>
                <c:pt idx="2">
                  <c:v>VW Licença DNIT AET</c:v>
                </c:pt>
                <c:pt idx="3">
                  <c:v>VW Manutenção</c:v>
                </c:pt>
              </c:strCache>
            </c:strRef>
          </c:cat>
          <c:val>
            <c:numRef>
              <c:f>CUSTOS!$H$74:$H$78</c:f>
              <c:numCache>
                <c:formatCode>"R$"\ #,##0.00</c:formatCode>
                <c:ptCount val="4"/>
                <c:pt idx="0">
                  <c:v>800.04</c:v>
                </c:pt>
                <c:pt idx="1">
                  <c:v>133.13</c:v>
                </c:pt>
                <c:pt idx="2">
                  <c:v>87.62</c:v>
                </c:pt>
                <c:pt idx="3">
                  <c:v>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B-4404-91DC-8C23BFF26E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1355003136"/>
        <c:axId val="1355008896"/>
      </c:barChart>
      <c:catAx>
        <c:axId val="135500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008896"/>
        <c:crosses val="autoZero"/>
        <c:auto val="1"/>
        <c:lblAlgn val="ctr"/>
        <c:lblOffset val="100"/>
        <c:noMultiLvlLbl val="0"/>
      </c:catAx>
      <c:valAx>
        <c:axId val="1355008896"/>
        <c:scaling>
          <c:logBase val="10"/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5500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 sz="6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517887</xdr:colOff>
      <xdr:row>97</xdr:row>
      <xdr:rowOff>66675</xdr:rowOff>
    </xdr:from>
    <xdr:to>
      <xdr:col>7</xdr:col>
      <xdr:colOff>217195</xdr:colOff>
      <xdr:row>194</xdr:row>
      <xdr:rowOff>136615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3B2E1960-529D-935A-4DBE-8D556364E385}"/>
            </a:ext>
          </a:extLst>
        </xdr:cNvPr>
        <xdr:cNvGrpSpPr/>
      </xdr:nvGrpSpPr>
      <xdr:grpSpPr>
        <a:xfrm>
          <a:off x="517887" y="15367635"/>
          <a:ext cx="5498128" cy="16331020"/>
          <a:chOff x="7413987" y="295275"/>
          <a:chExt cx="5490508" cy="16700590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CCE5EFF0-EA5F-067C-8462-F3AE8D794A10}"/>
              </a:ext>
            </a:extLst>
          </xdr:cNvPr>
          <xdr:cNvGrpSpPr/>
        </xdr:nvGrpSpPr>
        <xdr:grpSpPr>
          <a:xfrm>
            <a:off x="7843838" y="295275"/>
            <a:ext cx="4511993" cy="7338060"/>
            <a:chOff x="7673477" y="260441"/>
            <a:chExt cx="4526688" cy="7245531"/>
          </a:xfrm>
        </xdr:grpSpPr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CEF67CC-63EE-34A1-2196-F5B3E0320CC1}"/>
                </a:ext>
              </a:extLst>
            </xdr:cNvPr>
            <xdr:cNvGraphicFramePr/>
          </xdr:nvGraphicFramePr>
          <xdr:xfrm>
            <a:off x="7676333" y="260441"/>
            <a:ext cx="4485731" cy="159094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48A3D3CF-60C6-464B-F137-84CD9A2229CB}"/>
                </a:ext>
              </a:extLst>
            </xdr:cNvPr>
            <xdr:cNvGraphicFramePr>
              <a:graphicFrameLocks/>
            </xdr:cNvGraphicFramePr>
          </xdr:nvGraphicFramePr>
          <xdr:xfrm>
            <a:off x="7674429" y="1927588"/>
            <a:ext cx="4487635" cy="20122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082B015B-68BD-C77F-7ECB-0FF7D5B80D2E}"/>
                </a:ext>
              </a:extLst>
            </xdr:cNvPr>
            <xdr:cNvGraphicFramePr/>
          </xdr:nvGraphicFramePr>
          <xdr:xfrm>
            <a:off x="7673477" y="4013155"/>
            <a:ext cx="4507638" cy="168279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ECB2020C-1E91-40BF-67A8-54CB8C6BEBA6}"/>
                </a:ext>
              </a:extLst>
            </xdr:cNvPr>
            <xdr:cNvGraphicFramePr/>
          </xdr:nvGraphicFramePr>
          <xdr:xfrm>
            <a:off x="7690622" y="5773102"/>
            <a:ext cx="4509543" cy="173287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A3EA279C-627C-F554-B036-B3D418147378}"/>
              </a:ext>
            </a:extLst>
          </xdr:cNvPr>
          <xdr:cNvGrpSpPr/>
        </xdr:nvGrpSpPr>
        <xdr:grpSpPr>
          <a:xfrm>
            <a:off x="7413987" y="7946574"/>
            <a:ext cx="5490508" cy="4188276"/>
            <a:chOff x="12587423" y="261260"/>
            <a:chExt cx="5515001" cy="4215490"/>
          </a:xfrm>
        </xdr:grpSpPr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8F5B5B6-3E91-AA97-4D80-1A9243120CBD}"/>
                </a:ext>
              </a:extLst>
            </xdr:cNvPr>
            <xdr:cNvGraphicFramePr/>
          </xdr:nvGraphicFramePr>
          <xdr:xfrm>
            <a:off x="12587423" y="261260"/>
            <a:ext cx="2734220" cy="12627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F5CC09A0-86FC-98FD-1963-61E376C70FD8}"/>
                </a:ext>
              </a:extLst>
            </xdr:cNvPr>
            <xdr:cNvGraphicFramePr/>
          </xdr:nvGraphicFramePr>
          <xdr:xfrm>
            <a:off x="15356752" y="265069"/>
            <a:ext cx="2745672" cy="126948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ACD099B4-2571-7F63-A761-1FDD0820C85C}"/>
                </a:ext>
              </a:extLst>
            </xdr:cNvPr>
            <xdr:cNvGraphicFramePr/>
          </xdr:nvGraphicFramePr>
          <xdr:xfrm>
            <a:off x="12621440" y="1584961"/>
            <a:ext cx="5476060" cy="139500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380F226D-30EE-CE61-6418-3DCDE7FE4524}"/>
                </a:ext>
              </a:extLst>
            </xdr:cNvPr>
            <xdr:cNvGraphicFramePr/>
          </xdr:nvGraphicFramePr>
          <xdr:xfrm>
            <a:off x="12623346" y="3037112"/>
            <a:ext cx="5470343" cy="14396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E740E736-2074-8AA3-EC8C-76FC02F67DBE}"/>
              </a:ext>
            </a:extLst>
          </xdr:cNvPr>
          <xdr:cNvGrpSpPr/>
        </xdr:nvGrpSpPr>
        <xdr:grpSpPr>
          <a:xfrm>
            <a:off x="7903574" y="12508500"/>
            <a:ext cx="4402726" cy="4487365"/>
            <a:chOff x="13736684" y="4791345"/>
            <a:chExt cx="4398916" cy="4645480"/>
          </a:xfrm>
        </xdr:grpSpPr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0B38DE67-5968-F7E2-8D5B-98553E1CC0FD}"/>
                </a:ext>
              </a:extLst>
            </xdr:cNvPr>
            <xdr:cNvGraphicFramePr/>
          </xdr:nvGraphicFramePr>
          <xdr:xfrm>
            <a:off x="13736684" y="8376013"/>
            <a:ext cx="2168977" cy="106081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771DF8BC-D989-43F7-BB02-3F28186F9BE9}"/>
                </a:ext>
              </a:extLst>
            </xdr:cNvPr>
            <xdr:cNvGraphicFramePr/>
          </xdr:nvGraphicFramePr>
          <xdr:xfrm>
            <a:off x="13738587" y="6893380"/>
            <a:ext cx="4385583" cy="14488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CC1E6A96-3330-4538-3635-509DECF690A9}"/>
                </a:ext>
              </a:extLst>
            </xdr:cNvPr>
            <xdr:cNvGraphicFramePr/>
          </xdr:nvGraphicFramePr>
          <xdr:xfrm>
            <a:off x="13738313" y="4791345"/>
            <a:ext cx="4385856" cy="205468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aphicFrame macro="">
          <xdr:nvGraphicFramePr>
            <xdr:cNvPr id="20" name="Gráfico 19">
              <a:extLst>
                <a:ext uri="{FF2B5EF4-FFF2-40B4-BE49-F238E27FC236}">
                  <a16:creationId xmlns:a16="http://schemas.microsoft.com/office/drawing/2014/main" id="{EF381437-90A3-176F-65DC-F03866F429A6}"/>
                </a:ext>
              </a:extLst>
            </xdr:cNvPr>
            <xdr:cNvGraphicFramePr/>
          </xdr:nvGraphicFramePr>
          <xdr:xfrm>
            <a:off x="15946481" y="8375740"/>
            <a:ext cx="2189119" cy="105346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Caroline Marques" refreshedDate="45979.736123148148" createdVersion="8" refreshedVersion="8" minRefreshableVersion="3" recordCount="90" xr:uid="{1BEA6CE4-72C2-4BDE-AB00-F675E27AC803}">
  <cacheSource type="worksheet">
    <worksheetSource ref="A1:S1048576" sheet="FRETE MÁQUINAS"/>
  </cacheSource>
  <cacheFields count="19">
    <cacheField name="STATUS" numFmtId="0">
      <sharedItems containsBlank="1"/>
    </cacheField>
    <cacheField name="FRETE" numFmtId="0">
      <sharedItems containsBlank="1" count="12">
        <s v="TERCEIRO DEMETRIO"/>
        <s v="TERCEIRO MAZETTO"/>
        <s v="TERCEIRO STOSKI"/>
        <s v="PROPRIO VW"/>
        <s v="TERCEIRO NELSON"/>
        <s v="PROPRIO DAF"/>
        <s v="TERCEIRO AGROMAQ"/>
        <s v="TERCEIRO JAPONES"/>
        <s v="TERCEIRO ZORTEA"/>
        <s v="TERCEIRO COLOMBO"/>
        <s v="NÃO DEFINIDO"/>
        <m/>
      </sharedItems>
    </cacheField>
    <cacheField name="HR" numFmtId="0">
      <sharedItems containsNonDate="0" containsDate="1" containsString="0" containsBlank="1" minDate="1899-12-30T00:33:00" maxDate="1899-12-30T18:19:30"/>
    </cacheField>
    <cacheField name="KM" numFmtId="0">
      <sharedItems containsString="0" containsBlank="1" containsNumber="1" containsInteger="1" minValue="22" maxValue="733"/>
    </cacheField>
    <cacheField name="R$ PROP" numFmtId="164">
      <sharedItems containsString="0" containsBlank="1" containsNumber="1" containsInteger="1" minValue="100" maxValue="3000"/>
    </cacheField>
    <cacheField name="R$ TERC" numFmtId="164">
      <sharedItems containsString="0" containsBlank="1" containsNumber="1" minValue="300" maxValue="9600"/>
    </cacheField>
    <cacheField name="CHASSI" numFmtId="0">
      <sharedItems containsBlank="1"/>
    </cacheField>
    <cacheField name="PREV" numFmtId="0">
      <sharedItems containsNonDate="0" containsDate="1" containsString="0" containsBlank="1" minDate="2025-11-03T00:00:00" maxDate="2025-11-29T00:00:00" count="20">
        <d v="2025-11-03T00:00:00"/>
        <d v="2025-11-04T00:00:00"/>
        <d v="2025-11-05T00:00:00"/>
        <d v="2025-11-06T00:00:00"/>
        <d v="2025-11-07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8T00:00:00"/>
        <m/>
      </sharedItems>
    </cacheField>
    <cacheField name="REAL" numFmtId="14">
      <sharedItems containsNonDate="0" containsDate="1" containsString="0" containsBlank="1" minDate="2025-11-03T00:00:00" maxDate="2025-11-19T00:00:00"/>
    </cacheField>
    <cacheField name="CLIENTE/NOTA" numFmtId="0">
      <sharedItems containsBlank="1"/>
    </cacheField>
    <cacheField name="SOLICITANTE" numFmtId="0">
      <sharedItems containsBlank="1"/>
    </cacheField>
    <cacheField name="ESTÁ:" numFmtId="0">
      <sharedItems containsBlank="1"/>
    </cacheField>
    <cacheField name="VAI:" numFmtId="0">
      <sharedItems containsBlank="1"/>
    </cacheField>
    <cacheField name="TIPO" numFmtId="0">
      <sharedItems containsBlank="1"/>
    </cacheField>
    <cacheField name="ESTÁ EM:" numFmtId="0">
      <sharedItems containsBlank="1"/>
    </cacheField>
    <cacheField name="VAI PARA:" numFmtId="0">
      <sharedItems containsBlank="1"/>
    </cacheField>
    <cacheField name="OBS" numFmtId="0">
      <sharedItems containsBlank="1"/>
    </cacheField>
    <cacheField name="FILIAL CUSTOS" numFmtId="0">
      <sharedItems containsBlank="1"/>
    </cacheField>
    <cacheField name="EQUIP" numFmtId="0">
      <sharedItems containsBlank="1" count="7">
        <s v="TRATOR"/>
        <s v="PLATAFORMA"/>
        <s v="COLHEITADEIRA"/>
        <s v="PULVERIZADOR"/>
        <s v="PLANTADEIRA"/>
        <s v="CARRET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Caroline Marques" refreshedDate="45979.736124884257" createdVersion="8" refreshedVersion="8" minRefreshableVersion="3" recordCount="102" xr:uid="{3AF7DCA1-06C4-44E7-9752-810589FEE262}">
  <cacheSource type="worksheet">
    <worksheetSource ref="A1:G1048576" sheet="PEDIDO COMPRA"/>
  </cacheSource>
  <cacheFields count="7">
    <cacheField name="TIPO" numFmtId="0">
      <sharedItems containsBlank="1" count="19">
        <s v="Frete Peças T"/>
        <s v="Frete Máq. Trator"/>
        <s v="Munck"/>
        <s v="Frete Máq. Colheitadeira"/>
        <s v="Frete Máq. Plataforma"/>
        <s v="Frete Peças M"/>
        <s v="VW Licença DNIT AET"/>
        <s v="DAF Multa"/>
        <s v="VW Manutenção"/>
        <s v="VW Licença DER AET"/>
        <s v="DAF Implemento"/>
        <s v="Frete Máq. Carreta"/>
        <s v="VW Implemento"/>
        <s v="Frete Máq. Pulverizador"/>
        <s v="Frete Máq. Plantadeira"/>
        <m/>
        <s v="Manutenção VW" u="1"/>
        <s v="Manutenção DAF" u="1"/>
        <s v="Frete Peças" u="1"/>
      </sharedItems>
    </cacheField>
    <cacheField name="FILIAL" numFmtId="0">
      <sharedItems containsBlank="1" count="8">
        <s v="IRATI"/>
        <s v="ARAPOTI"/>
        <s v="GRPVA"/>
        <s v="TIBAGI"/>
        <s v="PRUDE"/>
        <s v="PG"/>
        <s v="CASTRO"/>
        <m/>
      </sharedItems>
    </cacheField>
    <cacheField name="DATA" numFmtId="14">
      <sharedItems containsNonDate="0" containsDate="1" containsString="0" containsBlank="1" minDate="2025-10-25T00:00:00" maxDate="2025-11-20T00:00:00" count="16">
        <d v="2025-10-25T00:00:00"/>
        <d v="2025-11-0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m/>
      </sharedItems>
    </cacheField>
    <cacheField name="PDDO" numFmtId="0">
      <sharedItems containsBlank="1"/>
    </cacheField>
    <cacheField name="CÓD" numFmtId="0">
      <sharedItems containsBlank="1"/>
    </cacheField>
    <cacheField name="FORNECEDOR" numFmtId="0">
      <sharedItems containsBlank="1" count="31">
        <s v="TX LOG -TR PEÇA"/>
        <s v="GRICZYNSKI -TR MAQ"/>
        <s v="TRANSCAPITINGA-TR MAQ"/>
        <s v="MAZETTO -TR MAQ"/>
        <s v="ANDREIA R. COURIER"/>
        <s v="DELTA MOTOS COURIER"/>
        <s v="ESC -TR PEÇA"/>
        <s v="STOSKI -TR MAQ"/>
        <s v="JOHN ELVIS COURIER"/>
        <s v="MARCOS D. COURIER"/>
        <s v="DNIT"/>
        <s v="DETRAN PR"/>
        <s v="PRINCESA -TR PEÇA"/>
        <s v="JORGE LUIZ 2 COURIER"/>
        <s v="UNIBOY COURIER"/>
        <s v="ANDREANI - MT"/>
        <s v="SERIE4 - MT 1"/>
        <s v="CARGADEDICADA -TR PEÇA"/>
        <s v="DER - AET VEICULOS"/>
        <s v="JOSEAMILTON1 COURIER"/>
        <s v="MUNCK IRATI -TR MAQ"/>
        <s v="MONTPAR GUINDASTES"/>
        <s v="AGROMAQ -TR MAQ"/>
        <s v="INCOMESPMUNCK -TR MAQ"/>
        <s v="SUL LONAS - MT"/>
        <s v="ZORTEA -TR MAQ"/>
        <s v="JAPA MARRERO -TR MAQ"/>
        <s v="MEGA TRUCK ACESSORIOS - MT"/>
        <s v="LUG -TR MAQ"/>
        <s v="MULTISOLDAS E MUNCK"/>
        <m/>
      </sharedItems>
    </cacheField>
    <cacheField name="VALOR" numFmtId="164">
      <sharedItems containsString="0" containsBlank="1" containsNumber="1" minValue="46.32" maxValue="9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ONCLUIDO"/>
    <x v="0"/>
    <d v="1899-12-30T02:27:00"/>
    <n v="98"/>
    <m/>
    <n v="300"/>
    <s v="1BM5060ECN4103629"/>
    <x v="0"/>
    <d v="2025-11-03T00:00:00"/>
    <s v="MANUTENÇÃO → CLIENTE"/>
    <s v="daisy.kakol"/>
    <s v="IRATI"/>
    <s v="CLIENTE"/>
    <s v="DE LOJA PARA CLIENTE"/>
    <s v="MPA"/>
    <s v="https://maps.app.goo.gl/MLVchYQrLvQGhWWp6"/>
    <s v="cezar"/>
    <s v="IRATI"/>
    <x v="0"/>
  </r>
  <r>
    <s v="CONCLUIDO"/>
    <x v="0"/>
    <d v="1899-12-30T02:52:30"/>
    <n v="115"/>
    <m/>
    <n v="500"/>
    <s v="1BM5080ECP4111950"/>
    <x v="0"/>
    <d v="2025-11-03T00:00:00"/>
    <s v="MANUTENÇÃO → CLIENTE"/>
    <s v="daisy.kakol"/>
    <s v="IRATI"/>
    <s v="CLIENTE"/>
    <s v="DE LOJA PARA CLIENTE"/>
    <s v="MPA"/>
    <s v="https://maps.app.goo.gl/rYQLkSMERduCoffL8"/>
    <s v="RICARDO DRANKA"/>
    <s v="IRATI"/>
    <x v="0"/>
  </r>
  <r>
    <s v="CONCLUIDO"/>
    <x v="0"/>
    <d v="1899-12-30T02:52:30"/>
    <n v="115"/>
    <m/>
    <n v="300"/>
    <s v="1BM5080EEP4112594"/>
    <x v="0"/>
    <d v="2025-11-03T00:00:00"/>
    <s v="CLIENTE → MANUTENÇÃO"/>
    <s v="daisy.kakol"/>
    <s v="CLIENTE"/>
    <s v="IRATI"/>
    <s v="DE CLIENTE PARA LOJA"/>
    <s v="https://maps.app.goo.gl/MTXwpjxVEM4SBPA46"/>
    <s v="MPA"/>
    <s v="jose"/>
    <s v="IRATI"/>
    <x v="0"/>
  </r>
  <r>
    <s v="CONCLUIDO"/>
    <x v="1"/>
    <d v="1899-12-30T03:45:00"/>
    <n v="150"/>
    <m/>
    <n v="1352"/>
    <s v="1BM5080EPS4204124"/>
    <x v="0"/>
    <d v="2025-11-03T00:00:00"/>
    <s v="LUIZ HENRIQUE GREIN -NF107347 "/>
    <s v="euclides.junior"/>
    <s v="GUARAPUAVA"/>
    <s v="CLIENTE"/>
    <s v="DE LOJA PARA CLIENTE"/>
    <s v="MPA"/>
    <s v="https://maps.app.goo.gl/jZEWqzLvNcpTnRBE8"/>
    <s v="Emerson"/>
    <s v="GUARAPUAVA"/>
    <x v="0"/>
  </r>
  <r>
    <s v="CONCLUIDO"/>
    <x v="1"/>
    <d v="1899-12-30T04:18:00"/>
    <n v="172"/>
    <m/>
    <n v="650"/>
    <s v="1CQFA30AAS0160114"/>
    <x v="0"/>
    <d v="2025-11-03T00:00:00"/>
    <s v="ARNALDO STOCK -NF107847"/>
    <s v="euclides.junior"/>
    <s v="GUARAPUAVA"/>
    <s v="CLIENTE"/>
    <s v="DE LOJA PARA CLIENTE"/>
    <s v="MPA"/>
    <s v="https://maps.app.goo.gl/kFwUPivsMpYS8pGd8"/>
    <s v="Fabio "/>
    <s v="GUARAPUAVA"/>
    <x v="1"/>
  </r>
  <r>
    <s v="CONCLUIDO"/>
    <x v="1"/>
    <d v="1899-12-30T04:18:00"/>
    <n v="172"/>
    <m/>
    <n v="650"/>
    <s v="1CQS760ACS0160134"/>
    <x v="0"/>
    <d v="2025-11-03T00:00:00"/>
    <s v="ARNALDO STOCK -NF107847"/>
    <s v="euclides.junior"/>
    <s v="GUARAPUAVA"/>
    <s v="CLIENTE"/>
    <s v="DE LOJA PARA CLIENTE"/>
    <s v="MPA"/>
    <s v="https://maps.app.goo.gl/Kk5FKYUBPHUbo26P8"/>
    <s v="Fabio "/>
    <s v="GUARAPUAVA"/>
    <x v="2"/>
  </r>
  <r>
    <s v="CONCLUIDO"/>
    <x v="2"/>
    <d v="1899-12-30T01:45:00"/>
    <n v="70"/>
    <m/>
    <n v="910"/>
    <s v="1BM6135MPSH000596"/>
    <x v="0"/>
    <d v="2025-11-03T00:00:00"/>
    <s v="LAURO MIGUEL STRONA -NF76755"/>
    <s v="marcio.jacovossi"/>
    <s v="IRATI"/>
    <s v="CLIENTE"/>
    <s v="DE LOJA PARA CLIENTE"/>
    <s v="MPA"/>
    <s v="https://maps.app.goo.gl/JxzGitfYRrvxzYUL9"/>
    <s v="LAURO MIGUEL STRONA   42 999269190"/>
    <s v="IRATI"/>
    <x v="0"/>
  </r>
  <r>
    <s v="CONCLUIDO"/>
    <x v="3"/>
    <d v="1899-12-30T08:15:00"/>
    <n v="330"/>
    <n v="1980"/>
    <m/>
    <s v="1NW4025MVKF190132"/>
    <x v="1"/>
    <d v="2025-11-04T00:00:00"/>
    <s v="MARLON BONILHA -NF61707"/>
    <s v="edenilson.mattos"/>
    <s v="PONTA GROSSA"/>
    <s v="CLIENTE"/>
    <s v="DE LOJA PARA CLIENTE"/>
    <s v="MPA"/>
    <s v="https://maps.app.goo.gl/F6zwbnVFirHNNuCLA"/>
    <s v="Contato CEN Alison 43.98409-2094"/>
    <s v="PONTA GROSSA"/>
    <x v="3"/>
  </r>
  <r>
    <s v="CONCLUIDO"/>
    <x v="3"/>
    <d v="1899-12-30T01:24:00"/>
    <n v="56"/>
    <n v="336"/>
    <m/>
    <s v="1BM5060EES4201594"/>
    <x v="1"/>
    <d v="2025-11-03T00:00:00"/>
    <s v="JOAQUIM MASCARENHAS -NF278279"/>
    <s v="marcos.ribas"/>
    <s v="PONTA GROSSA"/>
    <s v="CLIENTE"/>
    <s v="DE LOJA PARA CLIENTE"/>
    <s v="MPA"/>
    <s v="https://maps.app.goo.gl/s5tPSxgcuWhSkcKc7"/>
    <s v="PAULO - +55 42 9991-2229 - AVISAR ANGELO PARA ACOMPANHAR"/>
    <s v="PONTA GROSSA"/>
    <x v="0"/>
  </r>
  <r>
    <s v="CONCLUIDO"/>
    <x v="4"/>
    <d v="1899-12-30T04:37:30"/>
    <n v="185"/>
    <m/>
    <n v="1295"/>
    <s v="1BM5060EAP4104558"/>
    <x v="1"/>
    <d v="2025-11-04T00:00:00"/>
    <s v="MANUTENÇÃO → CLIENTE"/>
    <s v="rafael.santos"/>
    <s v="CLIENTE"/>
    <s v="ARAPOTI"/>
    <s v="DE CLIENTE PARA LOJA"/>
    <s v="https://maps.app.goo.gl/PXTmMqoYPtx48Gex6"/>
    <s v="MPA"/>
    <s v="LUCIANO DE FREITAS - 43 99624-6946"/>
    <s v="ARAPOTI"/>
    <x v="0"/>
  </r>
  <r>
    <s v="CONCLUIDO"/>
    <x v="5"/>
    <d v="1899-12-30T01:16:30"/>
    <n v="51"/>
    <n v="306"/>
    <m/>
    <s v="1BM7215CVR3000057"/>
    <x v="2"/>
    <d v="2025-11-06T00:00:00"/>
    <s v="MANUTENÇÃO → CLIENTE"/>
    <s v="marcelo.ferreira"/>
    <s v="PONTA GROSSA"/>
    <s v="CLIENTE"/>
    <s v="DE LOJA PARA CLIENTE"/>
    <s v="MPA"/>
    <s v="https://maps.app.goo.gl/pQZUg9LPg5sgdyLs8"/>
    <s v="GABRIEL - 42 -99972-7464"/>
    <s v="PONTA GROSSA"/>
    <x v="0"/>
  </r>
  <r>
    <s v="CONCLUIDO"/>
    <x v="3"/>
    <d v="1899-12-30T00:33:00"/>
    <n v="22"/>
    <n v="132"/>
    <m/>
    <s v="1P06110DABA021136"/>
    <x v="2"/>
    <d v="2025-11-06T00:00:00"/>
    <s v="MANUTENÇÃO → CLIENTE"/>
    <s v="leonardo.ramos"/>
    <s v="PONTA GROSSA"/>
    <s v="CLIENTE"/>
    <s v="DE LOJA PARA CLIENTE"/>
    <s v="MPA"/>
    <s v="https://maps.app.goo.gl/zzmzdRt4m8WXMVjg9"/>
    <s v="JUNIOR +55 42 8866-3271"/>
    <s v="PONTA GROSSA"/>
    <x v="3"/>
  </r>
  <r>
    <s v="CONCLUIDO"/>
    <x v="1"/>
    <d v="1899-12-30T04:00:00"/>
    <n v="160"/>
    <m/>
    <n v="1458"/>
    <s v="1BM6135MASH000623"/>
    <x v="2"/>
    <d v="2025-11-05T00:00:00"/>
    <s v="VLADEMIR STORTI -NF107917"/>
    <s v="euclides.junior"/>
    <s v="GUARAPUAVA"/>
    <s v="CLIENTE"/>
    <s v="DE LOJA PARA CLIENTE"/>
    <s v="MPA"/>
    <s v="https://maps.app.goo.gl/giUyNXP6omVdANbb6"/>
    <s v="Vladmir"/>
    <s v="GUARAPUAVA"/>
    <x v="0"/>
  </r>
  <r>
    <s v="CONCLUIDO"/>
    <x v="4"/>
    <d v="1899-12-30T03:15:00"/>
    <n v="130"/>
    <m/>
    <n v="975"/>
    <s v="1BM5080EKS4203735"/>
    <x v="2"/>
    <d v="2025-11-05T00:00:00"/>
    <s v="VERIDIANA POSS DE LIMA -NF61217"/>
    <s v="josiane.oliveira"/>
    <s v="ARAPOTI"/>
    <s v="CLIENTE"/>
    <s v="DE LOJA PARA CLIENTE"/>
    <s v="MPA"/>
    <s v="https://maps.app.goo.gl/oLpnxFw9huVdueSf7"/>
    <s v="Veridiana 043984053787 -CEN Alison Russi"/>
    <s v="ARAPOTI"/>
    <x v="0"/>
  </r>
  <r>
    <s v="CONCLUIDO (D)"/>
    <x v="5"/>
    <d v="1899-12-30T03:45:00"/>
    <n v="150"/>
    <n v="500"/>
    <m/>
    <s v="1CQ0630AHR0155127"/>
    <x v="2"/>
    <d v="2025-11-05T00:00:00"/>
    <s v="MARCELO RIBEIRO DE NARDI -NF278794"/>
    <s v="marcos.ribas"/>
    <s v="PONTA GROSSA"/>
    <s v="CLIENTE"/>
    <s v="DE LOJA PARA CLIENTE"/>
    <s v="MPA"/>
    <s v="https://maps.app.goo.gl/2DJawZBMR4yqycss9"/>
    <s v="DANILO - MARCELO "/>
    <s v="PONTA GROSSA"/>
    <x v="1"/>
  </r>
  <r>
    <s v="CONCLUIDO (D)"/>
    <x v="5"/>
    <d v="1899-12-30T03:45:00"/>
    <n v="150"/>
    <n v="500"/>
    <m/>
    <s v="1CQS550AER0155105"/>
    <x v="2"/>
    <d v="2025-11-05T00:00:00"/>
    <s v="MARCELO RIBEIRO DE NARDI -NF278794"/>
    <s v="marcos.ribas"/>
    <s v="PONTA GROSSA"/>
    <s v="CLIENTE"/>
    <s v="DE LOJA PARA CLIENTE"/>
    <s v="MPA"/>
    <s v="https://maps.app.goo.gl/2DJawZBMR4yqycss9"/>
    <s v="DANILO - MARCELO "/>
    <s v="PONTA GROSSA"/>
    <x v="2"/>
  </r>
  <r>
    <s v="CONCLUIDO"/>
    <x v="3"/>
    <d v="1899-12-30T06:07:30"/>
    <n v="245"/>
    <n v="1470"/>
    <m/>
    <s v="1BM6135MCSH000563"/>
    <x v="3"/>
    <d v="2025-11-06T00:00:00"/>
    <s v="WILLEM HENDRIK VAN DE RIET -NF109953"/>
    <s v="fernando.wiesinies"/>
    <s v="IRATI"/>
    <s v="CLIENTE"/>
    <s v="DE LOJA PARA CLIENTE"/>
    <s v="MPA"/>
    <s v="https://maps.app.goo.gl/B5W3gFAkVjKrxcms8"/>
    <s v="(42)999730047 Willen "/>
    <s v="IRATI"/>
    <x v="0"/>
  </r>
  <r>
    <s v="CONCLUIDO"/>
    <x v="5"/>
    <d v="1899-12-30T04:22:30"/>
    <n v="175"/>
    <n v="1050"/>
    <m/>
    <s v="1CQS680ATF0110209"/>
    <x v="4"/>
    <d v="2025-11-08T00:00:00"/>
    <s v="DOUGLAS FANCHIN TAQUES FONSECA -NF278835"/>
    <s v="marcelo.ferreira"/>
    <s v="PONTA GROSSA"/>
    <s v="CLIENTE"/>
    <s v="DE LOJA PARA CLIENTE"/>
    <s v="MPA"/>
    <s v="https://maps.app.goo.gl/GfTKV558G2iXHWmg8"/>
    <s v="VALTINHO 42-99920-3056"/>
    <s v="PONTA GROSSA"/>
    <x v="2"/>
  </r>
  <r>
    <s v="CONCLUIDO"/>
    <x v="5"/>
    <d v="1899-12-30T04:22:30"/>
    <n v="175"/>
    <n v="1050"/>
    <m/>
    <s v="1BM6180JKDD001849"/>
    <x v="4"/>
    <d v="2025-11-07T00:00:00"/>
    <s v="MANUTENÇÃO → CLIENTE"/>
    <s v="gustavo.erdmann"/>
    <s v="PONTA GROSSA"/>
    <s v="CLIENTE"/>
    <s v="DE LOJA PARA CLIENTE"/>
    <s v="MPA"/>
    <s v="https://maps.app.goo.gl/Yk2FrxveQ1BNpLmN8"/>
    <s v="Cassio"/>
    <s v="PONTA GROSSA"/>
    <x v="0"/>
  </r>
  <r>
    <s v="CONCLUIDO"/>
    <x v="1"/>
    <d v="1899-12-30T08:15:00"/>
    <n v="330"/>
    <m/>
    <n v="2890"/>
    <s v="1BM6100JVSD602522"/>
    <x v="4"/>
    <d v="2025-11-07T00:00:00"/>
    <s v="ADILSON KRASSOSKI -NF11620 "/>
    <s v="euclides.junior"/>
    <s v="GUARAPUAVA"/>
    <s v="CLIENTE"/>
    <s v="DE LOJA PARA CLIENTE"/>
    <s v="MPA"/>
    <s v="https://maps.app.goo.gl/nUnfbBeivgDPDFmy6"/>
    <s v="Adilson"/>
    <s v="GUARAPUAVA"/>
    <x v="0"/>
  </r>
  <r>
    <s v="CONCLUIDO"/>
    <x v="5"/>
    <d v="1899-12-30T08:07:30"/>
    <n v="325"/>
    <n v="1950"/>
    <m/>
    <s v="AAAP1112CGS000944"/>
    <x v="5"/>
    <d v="2025-11-11T00:00:00"/>
    <s v="TRANSF -NF000076886"/>
    <s v="marcio.jacovossi"/>
    <s v="IRATI"/>
    <s v="PRUDENTÓPOLIS"/>
    <s v="DE LOJA PARA LOJA"/>
    <s v="MPA"/>
    <s v="MPA"/>
    <s v="N/A"/>
    <s v="IRATI"/>
    <x v="2"/>
  </r>
  <r>
    <s v="CONCLUIDO"/>
    <x v="5"/>
    <d v="1899-12-30T06:22:30"/>
    <n v="255"/>
    <n v="1530"/>
    <m/>
    <s v="1BM5078EHS4200616"/>
    <x v="5"/>
    <d v="2025-11-11T00:00:00"/>
    <s v="TRANSF -NF000076884"/>
    <s v="marcio.jacovossi"/>
    <s v="IRATI"/>
    <s v="PRUDENTÓPOLIS"/>
    <s v="DE LOJA PARA LOJA"/>
    <s v="MPA"/>
    <s v="MPA"/>
    <s v="N/A"/>
    <s v="IRATI"/>
    <x v="0"/>
  </r>
  <r>
    <s v="CONCLUIDO"/>
    <x v="5"/>
    <d v="1899-12-30T06:22:30"/>
    <n v="255"/>
    <n v="1530"/>
    <m/>
    <s v="1BM6150JCSD642412"/>
    <x v="5"/>
    <d v="2025-11-11T00:00:00"/>
    <s v="TRANSF -NF000076884"/>
    <s v="marcio.jacovossi"/>
    <s v="IRATI"/>
    <s v="PRUDENTÓPOLIS"/>
    <s v="DE LOJA PARA LOJA"/>
    <s v="MPA"/>
    <s v="MPA"/>
    <s v="N/A"/>
    <s v="IRATI"/>
    <x v="0"/>
  </r>
  <r>
    <s v="CONCLUIDO"/>
    <x v="5"/>
    <d v="1899-12-30T08:07:30"/>
    <n v="325"/>
    <n v="1950"/>
    <m/>
    <s v="9AGC1007EHS000187"/>
    <x v="5"/>
    <d v="2025-11-11T00:00:00"/>
    <s v="TRANSF -NF000076891"/>
    <s v="marcio.jacovossi"/>
    <s v="IRATI"/>
    <s v="PRUDENTÓPOLIS"/>
    <s v="DE LOJA PARA LOJA"/>
    <s v="MPA"/>
    <s v="MPA"/>
    <s v="N/A"/>
    <s v="IRATI"/>
    <x v="0"/>
  </r>
  <r>
    <s v="CONCLUIDO"/>
    <x v="1"/>
    <d v="1899-12-30T01:57:00"/>
    <n v="78"/>
    <m/>
    <n v="1389"/>
    <s v="1BM6100JESD602123"/>
    <x v="5"/>
    <d v="2025-11-11T00:00:00"/>
    <s v="OSWALDO R BARBOSA -NF107698"/>
    <s v="euclides.junior"/>
    <s v="PRUDENTÓPOLIS"/>
    <s v="CLIENTE"/>
    <s v="DE LOJA PARA CLIENTE"/>
    <s v="MPA"/>
    <s v="https://maps.app.goo.gl/3mYP9KzrASogJS3w9"/>
    <s v="Oswaldo"/>
    <s v="GUARAPUAVA"/>
    <x v="0"/>
  </r>
  <r>
    <s v="CONCLUIDO (D)"/>
    <x v="5"/>
    <d v="1899-12-30T12:30:00"/>
    <n v="500"/>
    <n v="800"/>
    <m/>
    <s v="1CQRD30AVS0160245"/>
    <x v="5"/>
    <d v="2025-11-10T00:00:00"/>
    <s v="DOUGLAS FONSECA -NF 107225"/>
    <s v="marcelo.ferreira"/>
    <s v="GUARAPUAVA"/>
    <s v="CLIENTE"/>
    <s v="DE LOJA PARA DEMONSTRAÇÃO"/>
    <s v="MPA"/>
    <s v="https://maps.app.goo.gl/xyQpe8BG44WqsG1v9"/>
    <s v="N/A"/>
    <s v="GUARAPUAVA"/>
    <x v="1"/>
  </r>
  <r>
    <s v="CONCLUIDO (D)"/>
    <x v="5"/>
    <d v="1899-12-30T12:30:00"/>
    <n v="500"/>
    <n v="2200"/>
    <m/>
    <s v="1CQS550APS0160136"/>
    <x v="5"/>
    <d v="2025-11-10T00:00:00"/>
    <s v="DOUGLAS FONSECA -NF 107225"/>
    <s v="marcelo.ferreira"/>
    <s v="GUARAPUAVA"/>
    <s v="CLIENTE"/>
    <s v="DE LOJA PARA DEMONSTRAÇÃO"/>
    <s v="MPA"/>
    <s v="https://maps.app.goo.gl/xyQpe8BG44WqsG1v9"/>
    <s v="N/A"/>
    <s v="GUARAPUAVA"/>
    <x v="2"/>
  </r>
  <r>
    <s v="CONCLUIDO"/>
    <x v="3"/>
    <d v="1899-12-30T01:25:30"/>
    <n v="57"/>
    <n v="342"/>
    <m/>
    <s v="1BM7230JCPH010913"/>
    <x v="6"/>
    <d v="2025-11-12T00:00:00"/>
    <s v="CLIENTE → MANUTENÇÃO"/>
    <s v="marcelo.ferreira"/>
    <s v="CLIENTE"/>
    <s v="PONTA GROSSA"/>
    <s v="DE CLIENTE PARA LOJA"/>
    <s v="https://maps.app.goo.gl/xb5MkVzoE3pEMvuw8"/>
    <s v="MPA"/>
    <s v="FABIO - 42-99921-1220"/>
    <s v="PONTA GROSSA"/>
    <x v="0"/>
  </r>
  <r>
    <s v="CONCLUIDO"/>
    <x v="5"/>
    <d v="1899-12-30T02:30:00"/>
    <n v="100"/>
    <n v="600"/>
    <m/>
    <s v="1BM7225JCGH004564"/>
    <x v="7"/>
    <d v="2025-11-13T00:00:00"/>
    <s v="CLIENTE → MANUTENÇÃO"/>
    <s v="marcelo.ferreira"/>
    <s v="PONTA GROSSA"/>
    <s v="CLIENTE"/>
    <s v="DE LOJA PARA CLIENTE"/>
    <s v="MPA"/>
    <s v="https://maps.app.goo.gl/TWUFTdA34fB48Hvv8"/>
    <s v="RUBINHO 42- 99972-3850"/>
    <s v="PONTA GROSSA"/>
    <x v="0"/>
  </r>
  <r>
    <s v="CONCLUIDO"/>
    <x v="3"/>
    <d v="1899-12-30T02:37:30"/>
    <n v="105"/>
    <n v="630"/>
    <m/>
    <s v="1BM5060EPS4201602"/>
    <x v="7"/>
    <d v="2025-11-13T00:00:00"/>
    <s v="CARLOS EDINEI KNAUT → MANUTENÇÃO"/>
    <s v="daisy.kakol"/>
    <s v="CLIENTE"/>
    <s v="IRATI"/>
    <s v="DE CLIENTE PARA LOJA"/>
    <s v="https://maps.app.goo.gl/EGGjvMh2LpNr1STk7"/>
    <s v="MPA"/>
    <s v="OFICINA"/>
    <s v="IRATI"/>
    <x v="0"/>
  </r>
  <r>
    <s v="CONCLUIDO"/>
    <x v="3"/>
    <d v="1899-12-30T01:48:00"/>
    <n v="72"/>
    <n v="432"/>
    <m/>
    <s v="1BM5080ECN4109659"/>
    <x v="7"/>
    <d v="2025-11-13T00:00:00"/>
    <s v="ANSELMO WASELECHEN → MANUTENÇÃO"/>
    <s v="daisy.kakol"/>
    <s v="CLIENTE"/>
    <s v="IRATI"/>
    <s v="DE CLIENTE PARA LOJA"/>
    <s v="https://maps.app.goo.gl/fhc785TjS54Vtjgc8"/>
    <s v="MPA"/>
    <s v="OFICINA"/>
    <s v="IRATI"/>
    <x v="0"/>
  </r>
  <r>
    <s v="CONCLUIDO"/>
    <x v="3"/>
    <d v="1899-12-30T02:52:30"/>
    <n v="115"/>
    <n v="690"/>
    <m/>
    <s v="1BM5080EEP4112594"/>
    <x v="7"/>
    <d v="2025-11-13T00:00:00"/>
    <s v="MANUTENÇÃO → JOSE VALCIR MOREIRA DA SILVA"/>
    <s v="daisy.kakol"/>
    <s v="IRATI"/>
    <s v="CLIENTE"/>
    <s v="DE LOJA PARA CLIENTE"/>
    <s v="MPA"/>
    <s v="https://maps.app.goo.gl/u6RQ92AcKr5YZVN5A"/>
    <s v="JOSE VALCIR"/>
    <s v="IRATI"/>
    <x v="0"/>
  </r>
  <r>
    <s v="CONCLUIDO"/>
    <x v="6"/>
    <d v="1899-12-30T02:28:30"/>
    <n v="99"/>
    <m/>
    <n v="1000"/>
    <s v="1XBDN10BHPP000280"/>
    <x v="7"/>
    <d v="2025-11-13T00:00:00"/>
    <s v="MARLON BONILHA -NF61887"/>
    <s v="josiane.oliveira"/>
    <s v="ARAPOTI"/>
    <s v="CLIENTE"/>
    <s v="DE LOJA PARA CLIENTE"/>
    <s v="MPA"/>
    <s v="https://maps.app.goo.gl/w3owGFpERZASWfsU6"/>
    <s v="Marlon Bonilha CEN Alison Russi"/>
    <s v="ARAPOTI"/>
    <x v="0"/>
  </r>
  <r>
    <s v="CONCLUIDO"/>
    <x v="0"/>
    <d v="1899-12-30T02:15:00"/>
    <n v="90"/>
    <m/>
    <n v="430"/>
    <m/>
    <x v="8"/>
    <d v="2025-11-14T00:00:00"/>
    <s v="CLIENTE → MANUTENÇÃO"/>
    <s v="daisy.kakol"/>
    <s v="CLIENTE"/>
    <s v="IRATI"/>
    <s v="DE CLIENTE PARA LOJA"/>
    <s v="CLIENTE"/>
    <s v="MPA"/>
    <m/>
    <s v="PRUDENTOPOLIS"/>
    <x v="0"/>
  </r>
  <r>
    <s v="CONCLUIDO"/>
    <x v="0"/>
    <d v="1899-12-30T02:06:00"/>
    <n v="84"/>
    <m/>
    <n v="450"/>
    <s v="1BM5080EKS4204142"/>
    <x v="8"/>
    <d v="2025-11-14T00:00:00"/>
    <s v="ANDRE J NASCIMENTO -NF76885"/>
    <s v="marcio.jacovossi"/>
    <s v="IRATI"/>
    <s v="CLIENTE"/>
    <s v="DE LOJA PARA CLIENTE"/>
    <s v="MPA"/>
    <s v="https://maps.app.goo.gl/VQtNqdXpX1Nn1Cwt8"/>
    <s v="ANDRÉ  42 920007503"/>
    <s v="IRATI"/>
    <x v="0"/>
  </r>
  <r>
    <s v="CONCLUIDO"/>
    <x v="0"/>
    <d v="1899-12-30T02:39:00"/>
    <n v="106"/>
    <m/>
    <n v="300"/>
    <s v="1BM5080EVS4203951"/>
    <x v="8"/>
    <d v="2025-11-14T00:00:00"/>
    <s v="TIAGO J KOCHINHERKO -NF76887"/>
    <s v="marcio.jacovossi"/>
    <s v="IRATI"/>
    <s v="CLIENTE"/>
    <s v="DE LOJA PARA CLIENTE"/>
    <s v="MPA"/>
    <s v="https://maps.app.goo.gl/z97gB1Y9xEQEsjNf6"/>
    <s v="TIAGO 42 998121951"/>
    <s v="IRATI"/>
    <x v="0"/>
  </r>
  <r>
    <s v="CONCLUIDO"/>
    <x v="7"/>
    <d v="1899-12-30T04:09:00"/>
    <n v="166"/>
    <m/>
    <n v="1328"/>
    <s v="1BM5080EJN4108551"/>
    <x v="8"/>
    <d v="2025-11-14T00:00:00"/>
    <s v="ADILSON P FURTADO -NF?"/>
    <s v="rafael.santos"/>
    <s v="CLIENTE"/>
    <s v="ARAPOTI"/>
    <s v="DE CLIENTE PARA LOJA"/>
    <s v="https://maps.app.goo.gl/tLcmyZnTmDtxQsvb6"/>
    <s v="MPA"/>
    <s v="  ADILSON APARECIDO FURTADO 43 - 99864 - 9233"/>
    <s v="ARAPOTI"/>
    <x v="0"/>
  </r>
  <r>
    <s v="CONCLUIDO"/>
    <x v="1"/>
    <d v="1899-12-30T10:30:00"/>
    <n v="420"/>
    <m/>
    <n v="3662.3"/>
    <s v="1BM6100JCSD602163"/>
    <x v="8"/>
    <d v="2025-11-14T00:00:00"/>
    <s v="RONALDO RABBERS -NF109962"/>
    <s v="fernando.wiesinies"/>
    <s v="GUARAPUAVA"/>
    <s v="CLIENTE"/>
    <s v="DE LOJA PARA CLIENTE"/>
    <s v="MPA"/>
    <s v="https://maps.app.goo.gl/6skd9a23gozJLC8q6?g_st=aw"/>
    <s v="Lucas (42)988040302"/>
    <s v="CASTRO"/>
    <x v="0"/>
  </r>
  <r>
    <s v="CONCLUIDO (D)"/>
    <x v="3"/>
    <d v="1899-12-30T07:39:00"/>
    <n v="306"/>
    <n v="1836"/>
    <m/>
    <s v="1BM5080ETS6204305"/>
    <x v="8"/>
    <d v="2025-11-14T00:00:00"/>
    <s v="SILO DO MALOCA -NF61894"/>
    <s v="josiane.oliveira"/>
    <s v="ARAPOTI"/>
    <s v="CLIENTE"/>
    <s v="DE LOJA PARA DEMONSTRAÇÃO"/>
    <s v="MPA"/>
    <s v="https://maps.app.goo.gl/TYsDXWU4kqkeGb8D6"/>
    <s v="Conexão JD Estática + Jantar - São José da Boa Vista"/>
    <s v="ARAPOTI"/>
    <x v="0"/>
  </r>
  <r>
    <s v="CONCLUIDO (D)"/>
    <x v="3"/>
    <d v="1899-12-30T07:39:00"/>
    <n v="306"/>
    <n v="1836"/>
    <m/>
    <s v="1BM5080EVS4204226"/>
    <x v="8"/>
    <d v="2025-11-14T00:00:00"/>
    <s v="SILO DO MALOCA -NF61894"/>
    <s v="josiane.oliveira"/>
    <s v="ARAPOTI"/>
    <s v="CLIENTE"/>
    <s v="DE LOJA PARA DEMONSTRAÇÃO"/>
    <s v="MPA"/>
    <s v="https://maps.app.goo.gl/TYsDXWU4kqkeGb8D6"/>
    <s v="Conexão JD Estática + Jantar - São José da Boa Vista"/>
    <s v="ARAPOTI"/>
    <x v="0"/>
  </r>
  <r>
    <s v="CONCLUIDO (D)"/>
    <x v="8"/>
    <d v="1899-12-30T11:57:00"/>
    <n v="478"/>
    <m/>
    <n v="1600"/>
    <s v="1CQFA25APS0160156"/>
    <x v="8"/>
    <d v="2025-11-14T00:00:00"/>
    <s v="SILO DO MALOCA -NF61894"/>
    <s v="josiane.oliveira"/>
    <s v="IRATI"/>
    <s v="CLIENTE"/>
    <s v="DE LOJA PARA DEMONSTRAÇÃO"/>
    <s v="MPA"/>
    <s v="https://maps.app.goo.gl/TYsDXWU4kqkeGb8D6"/>
    <s v="Conexão JD Estática + Jantar - São José da Boa Vista"/>
    <s v="ARAPOTI"/>
    <x v="1"/>
  </r>
  <r>
    <s v="CONCLUIDO (D)"/>
    <x v="8"/>
    <d v="1899-12-30T11:57:00"/>
    <n v="478"/>
    <m/>
    <n v="3800"/>
    <s v="1CQS440ACS0155147"/>
    <x v="8"/>
    <d v="2025-11-14T00:00:00"/>
    <s v="SILO DO MALOCA -NF61894"/>
    <s v="josiane.oliveira"/>
    <s v="IRATI"/>
    <s v="CLIENTE"/>
    <s v="DE LOJA PARA DEMONSTRAÇÃO"/>
    <s v="MPA"/>
    <s v="https://maps.app.goo.gl/TYsDXWU4kqkeGb8D6"/>
    <s v="Conexão JD Estática + Jantar - São José da Boa Vista"/>
    <s v="ARAPOTI"/>
    <x v="2"/>
  </r>
  <r>
    <s v="CONCLUIDO (D)"/>
    <x v="3"/>
    <d v="1899-12-30T07:39:00"/>
    <n v="306"/>
    <n v="1836"/>
    <m/>
    <s v="1BM5080ETS6204305"/>
    <x v="9"/>
    <d v="2025-11-17T00:00:00"/>
    <s v="SILO DO MALOCA -NF61894 VOLTA"/>
    <s v="josiane.oliveira"/>
    <s v="ARAPOTI"/>
    <s v="CLIENTE"/>
    <s v="DE LOJA PARA DEMONSTRAÇÃO"/>
    <s v="MPA"/>
    <s v="https://maps.app.goo.gl/TYsDXWU4kqkeGb8D6"/>
    <s v="Conexão JD Estática + Jantar - São José da Boa Vista"/>
    <s v="ARAPOTI"/>
    <x v="0"/>
  </r>
  <r>
    <s v="CONCLUIDO (D)"/>
    <x v="3"/>
    <d v="1899-12-30T07:39:00"/>
    <n v="306"/>
    <n v="1836"/>
    <m/>
    <s v="1BM5080EVS4204226"/>
    <x v="9"/>
    <d v="2025-11-17T00:00:00"/>
    <s v="SILO DO MALOCA -NF61894 VOLTA"/>
    <s v="josiane.oliveira"/>
    <s v="ARAPOTI"/>
    <s v="CLIENTE"/>
    <s v="DE LOJA PARA DEMONSTRAÇÃO"/>
    <s v="MPA"/>
    <s v="https://maps.app.goo.gl/TYsDXWU4kqkeGb8D6"/>
    <s v="Conexão JD Estática + Jantar - São José da Boa Vista"/>
    <s v="ARAPOTI"/>
    <x v="0"/>
  </r>
  <r>
    <s v="CONCLUIDO (D)"/>
    <x v="3"/>
    <d v="1899-12-30T05:00:00"/>
    <n v="200"/>
    <n v="1200"/>
    <m/>
    <s v="1BM7230CVS3001962"/>
    <x v="10"/>
    <d v="2025-11-18T00:00:00"/>
    <s v="FAZENDINHA -NF61895"/>
    <s v="josiane.oliveira"/>
    <s v="CLIENTE"/>
    <s v="CLIENTE"/>
    <s v="DE CLIENTE PARA CLIENTE"/>
    <m/>
    <s v="https://maps.app.goo.gl/HAQzMitpSPVxhKFi9"/>
    <m/>
    <s v="ARAPOTI"/>
    <x v="0"/>
  </r>
  <r>
    <s v="EM ROTA"/>
    <x v="9"/>
    <d v="1899-12-30T18:19:30"/>
    <n v="733"/>
    <m/>
    <n v="9600"/>
    <s v="1NW4030MES0250870"/>
    <x v="10"/>
    <d v="2025-11-18T00:00:00"/>
    <s v="VIKTOR LEH -NF107863 - AET ESP+ESCOLTA"/>
    <s v="euclides.junior"/>
    <s v="GUARAPUAVA"/>
    <s v="CLIENTE"/>
    <s v="DE LOJA PARA CLIENTE"/>
    <s v="MPA"/>
    <s v="https://maps.app.goo.gl/CR8ypB1Pd9ZCuWzE6"/>
    <s v="Viktor "/>
    <s v="GUARAPUAVA"/>
    <x v="3"/>
  </r>
  <r>
    <s v="EM ROTA (D)"/>
    <x v="6"/>
    <d v="1899-12-30T04:40:30"/>
    <n v="187"/>
    <m/>
    <n v="2000"/>
    <s v="1CQ1213AHS0155196"/>
    <x v="10"/>
    <d v="2025-11-18T00:00:00"/>
    <s v="FAZENDINHA -NF61895"/>
    <s v="josiane.oliveira"/>
    <s v="ARAPOTI"/>
    <s v="CLIENTE"/>
    <s v="DE CLIENTE PARA LOJA"/>
    <s v="MPA"/>
    <s v="https://maps.app.goo.gl/HAQzMitpSPVxhKFi9"/>
    <m/>
    <s v="ARAPOTI"/>
    <x v="4"/>
  </r>
  <r>
    <s v="PROGRAMADO (D)"/>
    <x v="6"/>
    <d v="1899-12-30T11:57:00"/>
    <n v="478"/>
    <m/>
    <n v="300"/>
    <s v="1CQFA25APS0160156"/>
    <x v="10"/>
    <m/>
    <s v="SILO DO MALOCA -NF61894 VOLTA"/>
    <s v="josiane.oliveira"/>
    <s v="IRATI"/>
    <s v="CLIENTE"/>
    <s v="DE LOJA PARA DEMONSTRAÇÃO"/>
    <s v="MPA"/>
    <s v="https://maps.app.goo.gl/TYsDXWU4kqkeGb8D6"/>
    <s v="Conexão JD Estática + Jantar - São José da Boa Vista"/>
    <s v="ARAPOTI"/>
    <x v="1"/>
  </r>
  <r>
    <s v="PROGRAMADO (D)"/>
    <x v="6"/>
    <d v="1899-12-30T11:57:00"/>
    <n v="478"/>
    <m/>
    <n v="900"/>
    <s v="1CQS440ACS0155147"/>
    <x v="10"/>
    <m/>
    <s v="SILO DO MALOCA -NF61894 VOLTA"/>
    <s v="josiane.oliveira"/>
    <s v="IRATI"/>
    <s v="CLIENTE"/>
    <s v="DE LOJA PARA DEMONSTRAÇÃO"/>
    <s v="MPA"/>
    <s v="https://maps.app.goo.gl/TYsDXWU4kqkeGb8D6"/>
    <s v="Conexão JD Estática + Jantar - São José da Boa Vista"/>
    <s v="ARAPOTI"/>
    <x v="2"/>
  </r>
  <r>
    <s v="PROGRAMADO"/>
    <x v="6"/>
    <d v="1899-12-30T00:33:00"/>
    <n v="22"/>
    <m/>
    <n v="400"/>
    <s v="1CQRD30AVS0160116"/>
    <x v="11"/>
    <m/>
    <s v="JAN NOORDEGRAAF NETO -NF61591"/>
    <s v="josiane.oliveira"/>
    <s v="ARAPOTI"/>
    <s v="CLIENTE"/>
    <s v="DE LOJA PARA CLIENTE"/>
    <s v="MPA"/>
    <s v="https://maps.app.goo.gl/w2FYcAi8ZYYfJ88Y8"/>
    <s v="JAN NOORDEGRAAF NETO 042999791942 - CEN PAULO HOPATA"/>
    <s v="ARAPOTI"/>
    <x v="1"/>
  </r>
  <r>
    <s v="PROGRAMADO"/>
    <x v="6"/>
    <d v="1899-12-30T00:33:00"/>
    <n v="22"/>
    <m/>
    <n v="800"/>
    <s v="1CQS550AAS0160130"/>
    <x v="11"/>
    <m/>
    <s v="JAN NOORDEGRAAF NETO -NF61591"/>
    <s v="josiane.oliveira"/>
    <s v="ARAPOTI"/>
    <s v="CLIENTE"/>
    <s v="DE LOJA PARA CLIENTE"/>
    <s v="MPA"/>
    <s v="https://maps.app.goo.gl/w2FYcAi8ZYYfJ88Y8"/>
    <s v="JAN NOORDEGRAAF NETO 042999791942 - CEN PAULO HOPATA"/>
    <s v="ARAPOTI"/>
    <x v="2"/>
  </r>
  <r>
    <s v="PROGRAMADO"/>
    <x v="6"/>
    <d v="1899-12-30T00:33:00"/>
    <n v="22"/>
    <m/>
    <n v="300"/>
    <s v="CTP28811021"/>
    <x v="11"/>
    <m/>
    <s v="NOTA DO CLIENTE"/>
    <s v="josiane.oliveira"/>
    <s v="CLIENTE"/>
    <s v="ARAPOTI"/>
    <s v="DE CLIENTE PARA LOJA"/>
    <s v="https://maps.app.goo.gl/w2FYcAi8ZYYfJ88Y8"/>
    <s v="MPA"/>
    <s v="JAN NOORDEGRAAF NETO 43999791942 - CEN PAULO HOPATA"/>
    <s v="ARAPOTI"/>
    <x v="5"/>
  </r>
  <r>
    <s v="PROGRAMADO"/>
    <x v="6"/>
    <d v="1899-12-30T00:33:00"/>
    <n v="22"/>
    <m/>
    <n v="300"/>
    <s v="CTP58701025"/>
    <x v="11"/>
    <m/>
    <s v="JAN NOORDEGRAAF NETO -NF61845"/>
    <s v="josiane.oliveira"/>
    <s v="ARAPOTI"/>
    <s v="CLIENTE"/>
    <s v="DE LOJA PARA CLIENTE"/>
    <s v="MPA"/>
    <s v="https://maps.app.goo.gl/w2FYcAi8ZYYfJ88Y8"/>
    <s v="JAN NOORDEGRAAF NETO 43999791942 - CEN Paulo Hopata"/>
    <s v="ARAPOTI"/>
    <x v="5"/>
  </r>
  <r>
    <s v="PROGRAMADO"/>
    <x v="6"/>
    <d v="1899-12-30T00:33:00"/>
    <n v="22"/>
    <m/>
    <n v="800"/>
    <s v="HCCB251KEKC318677"/>
    <x v="11"/>
    <m/>
    <s v="NOTA DO CLIENTE"/>
    <s v="josiane.oliveira"/>
    <s v="CLIENTE"/>
    <s v="ARAPOTI"/>
    <s v="DE CLIENTE PARA LOJA"/>
    <s v="https://maps.app.goo.gl/w2FYcAi8ZYYfJ88Y8"/>
    <s v="MPA"/>
    <s v="JAN NOORDEGRAAF NETO 43999791942 - CEN PAULO HOPATA"/>
    <s v="ARAPOTI"/>
    <x v="2"/>
  </r>
  <r>
    <s v="PROGRAMADO"/>
    <x v="6"/>
    <d v="1899-12-30T00:33:00"/>
    <n v="22"/>
    <m/>
    <n v="400"/>
    <s v="JHFY3585PKJF12965"/>
    <x v="11"/>
    <m/>
    <s v="NOTA DO CLIENTE"/>
    <s v="josiane.oliveira"/>
    <s v="CLIENTE"/>
    <s v="ARAPOTI"/>
    <s v="DE CLIENTE PARA LOJA"/>
    <s v="https://maps.app.goo.gl/w2FYcAi8ZYYfJ88Y8"/>
    <s v="MPA"/>
    <s v="JAN NOORDEGRAAF NETO 43999791942 - CEN PAULO HOPATA"/>
    <s v="ARAPOTI"/>
    <x v="1"/>
  </r>
  <r>
    <s v="PROGRAMADO"/>
    <x v="1"/>
    <d v="1899-12-30T05:30:00"/>
    <n v="220"/>
    <m/>
    <m/>
    <s v="1BM6100JTSD602254"/>
    <x v="11"/>
    <m/>
    <s v="PATRICIA H O HASEGAWA -NF106525"/>
    <s v="euclides.junior"/>
    <s v="GUARAPUAVA"/>
    <s v="CLIENTE"/>
    <s v="DE LOJA PARA CLIENTE"/>
    <s v="MPA"/>
    <s v="https://maps.app.goo.gl/sUh1AADFcu4n8yPE8?g_st=iw"/>
    <s v="Patricia"/>
    <s v="GUARAPUAVA"/>
    <x v="0"/>
  </r>
  <r>
    <s v="PROGRAMADO"/>
    <x v="1"/>
    <d v="1899-12-30T02:15:00"/>
    <n v="90"/>
    <m/>
    <m/>
    <s v="1BM6100JCSD602446"/>
    <x v="11"/>
    <m/>
    <s v="BRUNNO F VIOMAR -NF 107324"/>
    <s v="euclides.junior"/>
    <s v="GUARAPUAVA"/>
    <s v="CLIENTE"/>
    <s v="DE LOJA PARA CLIENTE"/>
    <s v="MPA"/>
    <s v="https://maps.app.goo.gl/dMP2u2euHz5GQfGg7"/>
    <s v="Bruno"/>
    <s v="GUARAPUAVA"/>
    <x v="0"/>
  </r>
  <r>
    <s v="PROGRAMADO"/>
    <x v="1"/>
    <d v="1899-12-30T03:03:00"/>
    <n v="122"/>
    <m/>
    <m/>
    <s v="Y8C525126"/>
    <x v="11"/>
    <m/>
    <s v="ANDRE MUZZOLON TURCO -NF10833"/>
    <s v="euclides.junior"/>
    <s v="GUARAPUAVA"/>
    <s v="CLIENTE"/>
    <s v="DE LOJA PARA CLIENTE"/>
    <s v="MPA"/>
    <s v="https://maps.app.goo.gl/k8sSRQfK1xFP8eN89"/>
    <s v="Andre"/>
    <s v="GUARAPUAVA"/>
    <x v="2"/>
  </r>
  <r>
    <s v="PROGRAMADO"/>
    <x v="0"/>
    <d v="1899-12-30T03:30:00"/>
    <n v="140"/>
    <m/>
    <n v="550"/>
    <s v="1BM5060EVS4201539"/>
    <x v="11"/>
    <m/>
    <s v="OSMAR DIATCZUK -NF 30883"/>
    <s v="fernando.wiesinies"/>
    <s v="IRATI"/>
    <s v="CLIENTE"/>
    <s v="DE LOJA PARA CLIENTE"/>
    <s v="MPA"/>
    <s v="https://maps.google.com/maps?q=-25.1189094%2C-51.0372015&amp;z=17&amp;hl=pt-BR"/>
    <s v="Osmar (42) 99908-3514"/>
    <s v="PRUDENTOPOLIS"/>
    <x v="0"/>
  </r>
  <r>
    <s v="PROGRAMADO (D)"/>
    <x v="3"/>
    <d v="1899-12-30T01:24:00"/>
    <n v="56"/>
    <n v="336"/>
    <m/>
    <s v="1BM7215CJSH000128"/>
    <x v="11"/>
    <m/>
    <s v="GOLFE CLUB -NF79151"/>
    <s v="carolina.quadros"/>
    <s v="PONTA GROSSA"/>
    <s v="CLIENTE"/>
    <s v="DE LOJA PARA DEMONSTRAÇÃO"/>
    <s v="MPA"/>
    <s v="https://maps.app.goo.gl/nPrR72QZAjPCStGf7"/>
    <s v="Silvana +55 42 9955-7892 (Golf Clube)"/>
    <s v="PONTA GROSSA"/>
    <x v="0"/>
  </r>
  <r>
    <s v="PROGRAMADO (D)"/>
    <x v="3"/>
    <d v="1899-12-30T01:24:00"/>
    <n v="56"/>
    <n v="336"/>
    <m/>
    <s v="1BM6210MPS3001463"/>
    <x v="11"/>
    <m/>
    <s v="GOLFE CLUB -NF79151"/>
    <s v="carolina.quadros"/>
    <s v="PONTA GROSSA"/>
    <s v="CLIENTE"/>
    <s v="DE LOJA PARA DEMONSTRAÇÃO"/>
    <s v="MPA"/>
    <s v="https://maps.app.goo.gl/nPrR72QZAjPCStGf7"/>
    <s v="Silvana +55 42 9955-7892 (Golf Clube)"/>
    <s v="PONTA GROSSA"/>
    <x v="0"/>
  </r>
  <r>
    <s v="RECEBIDO (D)"/>
    <x v="10"/>
    <d v="1899-12-30T03:45:00"/>
    <n v="150"/>
    <n v="200"/>
    <m/>
    <s v="1CQ0630AHR0155127"/>
    <x v="12"/>
    <m/>
    <s v="MARCELO RIBEIRO NARDI -NF278794  VOLTA"/>
    <s v="marcos.ribas"/>
    <s v="CLIENTE"/>
    <s v="PONTA GROSSA"/>
    <s v="DE CLIENTE PARA LOJA"/>
    <s v="https://maps.app.goo.gl/2DJawZBMR4yqycss9"/>
    <s v="MPA"/>
    <s v="DANILO - MARCELO "/>
    <s v="PONTA GROSSA"/>
    <x v="1"/>
  </r>
  <r>
    <s v="RECEBIDO (D)"/>
    <x v="10"/>
    <d v="1899-12-30T03:45:00"/>
    <n v="150"/>
    <n v="800"/>
    <m/>
    <s v="1CQS550AER0155105"/>
    <x v="12"/>
    <m/>
    <s v="MARCELO RIBEIRO NARDI -NF278794  VOLTA"/>
    <s v="marcos.ribas"/>
    <s v="CLIENTE"/>
    <s v="PONTA GROSSA"/>
    <s v="DE CLIENTE PARA LOJA"/>
    <s v="https://maps.app.goo.gl/2DJawZBMR4yqycss9"/>
    <s v="MPA"/>
    <s v="DANILO - MARCELO "/>
    <s v="PONTA GROSSA"/>
    <x v="2"/>
  </r>
  <r>
    <s v="RECEBIDO"/>
    <x v="10"/>
    <d v="1899-12-30T11:52:30"/>
    <n v="475"/>
    <n v="2850"/>
    <m/>
    <s v="1BM6100JTSD602559"/>
    <x v="13"/>
    <m/>
    <s v="HAROLDO L R FILHO -NF109957"/>
    <s v="fernando.wiesinies"/>
    <s v="GUARAPUAVA"/>
    <s v="CLIENTE"/>
    <s v="DE LOJA PARA CLIENTE"/>
    <s v="MPA"/>
    <s v="https://maps.app.goo.gl/SAQGugLBfo1Uqy2XA?g_st=awb"/>
    <s v="Haroldo (51)99902-8053"/>
    <s v="CASTRO"/>
    <x v="0"/>
  </r>
  <r>
    <s v="RECEBIDO (D)"/>
    <x v="10"/>
    <d v="1899-12-30T02:03:00"/>
    <n v="82"/>
    <n v="492"/>
    <m/>
    <s v="1BM5080EPS6204421"/>
    <x v="14"/>
    <m/>
    <s v="NÃO INFORMADO- NÃO TEM NF"/>
    <s v="marcos.ribas"/>
    <s v="PONTA GROSSA"/>
    <s v="CLIENTE"/>
    <s v="DE LOJA PARA DEMONSTRAÇÃO"/>
    <s v="MPA"/>
    <s v="https://maps.app.goo.gl/BxL47zGps2wAbAig9"/>
    <m/>
    <s v="PONTA GROSSA"/>
    <x v="0"/>
  </r>
  <r>
    <s v="RECEBIDO (D)"/>
    <x v="10"/>
    <d v="1899-12-30T03:45:00"/>
    <n v="150"/>
    <n v="900"/>
    <m/>
    <s v="1BM5060EES4201644"/>
    <x v="14"/>
    <m/>
    <s v="Conexão JD -NF279152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45:00"/>
    <n v="150"/>
    <n v="900"/>
    <m/>
    <s v="1BM5080ECS4204234"/>
    <x v="14"/>
    <m/>
    <s v="Conexão JD -NF279152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45:00"/>
    <n v="150"/>
    <n v="900"/>
    <m/>
    <s v="1BM5080ELS4204066"/>
    <x v="14"/>
    <m/>
    <s v="Conexão JD -NF279152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0:37:30"/>
    <n v="25"/>
    <n v="150"/>
    <m/>
    <s v="1BM7215CJSH000128"/>
    <x v="15"/>
    <m/>
    <s v="GOLFE CLUB -NF79151 VOLTA"/>
    <s v="carolina.quadros"/>
    <s v="PONTA GROSSA"/>
    <s v="CLIENTE"/>
    <s v="DE LOJA PARA DEMONSTRAÇÃO"/>
    <s v="MPA"/>
    <s v="https://maps.app.goo.gl/rhzoBgFndL48HhK79"/>
    <s v="DEMO - Golfe Clube *16h00 - Ponta Grossa"/>
    <s v="PONTA GROSSA"/>
    <x v="0"/>
  </r>
  <r>
    <s v="RECEBIDO (D)"/>
    <x v="10"/>
    <d v="1899-12-30T12:30:00"/>
    <n v="500"/>
    <n v="3000"/>
    <m/>
    <s v="1BM7230CKS3002086"/>
    <x v="15"/>
    <m/>
    <s v="GOLFE CLUB -NF79151 VOLTA"/>
    <s v="carolina.quadros"/>
    <s v="PONTA GROSSA"/>
    <s v="CLIENTE"/>
    <s v="DE LOJA PARA DEMONSTRAÇÃO"/>
    <s v="MPA"/>
    <s v="https://maps.app.goo.gl/rhzoBgFndL48HhK79"/>
    <s v="DEMO - Golfe Clube *16h00 - Ponta Grossa"/>
    <s v="PONTA GROSSA"/>
    <x v="0"/>
  </r>
  <r>
    <s v="RECEBIDO (D)"/>
    <x v="10"/>
    <d v="1899-12-30T05:00:00"/>
    <n v="200"/>
    <n v="1200"/>
    <m/>
    <s v="1BM7230CVS3001962"/>
    <x v="15"/>
    <m/>
    <s v="FAZENDINHA -NF61895  VOLTA"/>
    <s v="josiane.oliveira"/>
    <s v="CLIENTE"/>
    <s v="CLIENTE"/>
    <s v="DE CLIENTE PARA CLIENTE"/>
    <m/>
    <s v="https://maps.app.goo.gl/HAQzMitpSPVxhKFi9"/>
    <m/>
    <s v="ARAPOTI"/>
    <x v="0"/>
  </r>
  <r>
    <s v="RECEBIDO (D)"/>
    <x v="10"/>
    <d v="1899-12-30T04:40:30"/>
    <n v="187"/>
    <n v="1122"/>
    <m/>
    <s v="1CQ1213AHS0155196"/>
    <x v="15"/>
    <m/>
    <s v="FAZENDINHA -NF61895  VOLTA"/>
    <s v="josiane.oliveira"/>
    <s v="ARAPOTI"/>
    <s v="CLIENTE"/>
    <s v="DE CLIENTE PARA LOJA"/>
    <s v="MPA"/>
    <s v="https://maps.app.goo.gl/HAQzMitpSPVxhKFi9"/>
    <m/>
    <s v="ARAPOTI"/>
    <x v="4"/>
  </r>
  <r>
    <s v="RECEBIDO (D)"/>
    <x v="10"/>
    <d v="1899-12-30T03:45:00"/>
    <n v="150"/>
    <n v="900"/>
    <m/>
    <s v="1BM5060EES4201644"/>
    <x v="16"/>
    <m/>
    <s v="Conexão JD -NF279152  VOLTA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45:00"/>
    <n v="150"/>
    <n v="900"/>
    <m/>
    <s v="1BM5080ECS4204234"/>
    <x v="16"/>
    <m/>
    <s v="Conexão JD -NF279152  VOLTA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45:00"/>
    <n v="150"/>
    <n v="900"/>
    <m/>
    <s v="1BM5080ELS4204066"/>
    <x v="16"/>
    <m/>
    <s v="Conexão JD -NF279152  VOLTA"/>
    <s v="carolina.quadros"/>
    <s v="PONTA GROSSA"/>
    <s v="CLIENTE"/>
    <s v="DE LOJA PARA DEMONSTRAÇÃO"/>
    <s v="MPA"/>
    <s v="https://maps.app.goo.gl/tbQZRQV4a7fp35NM6"/>
    <s v="Conexão JD - Estática - Palmeira -Água Clara"/>
    <s v="PONTA GROSSA"/>
    <x v="0"/>
  </r>
  <r>
    <s v="RECEBIDO (D)"/>
    <x v="10"/>
    <d v="1899-12-30T03:33:00"/>
    <n v="142"/>
    <n v="852"/>
    <m/>
    <s v="1BM5080ETS6204305"/>
    <x v="16"/>
    <m/>
    <s v="NÃO INFORMADO- NÃO TEM NF"/>
    <s v="carolina.quadros"/>
    <s v="CASTRO"/>
    <s v="CLIENTE"/>
    <s v="DE LOJA PARA DEMONSTRAÇÃO"/>
    <s v="MPA"/>
    <s v="https://maps.app.goo.gl/kgJbu1HMjsUxtg7P7"/>
    <s v="Conexão JD - Piraí do Sul"/>
    <s v="CASTRO"/>
    <x v="0"/>
  </r>
  <r>
    <s v="RECEBIDO (D)"/>
    <x v="10"/>
    <d v="1899-12-30T03:33:00"/>
    <n v="142"/>
    <n v="852"/>
    <m/>
    <s v="1BM5080EVS4204226"/>
    <x v="16"/>
    <m/>
    <s v="NÃO INFORMADO- NÃO TEM NF"/>
    <s v="carolina.quadros"/>
    <s v="CASTRO"/>
    <s v="CLIENTE"/>
    <s v="DE LOJA PARA DEMONSTRAÇÃO"/>
    <s v="MPA"/>
    <s v="https://maps.app.goo.gl/kgJbu1HMjsUxtg7P7"/>
    <s v="Conexão JD - Piraí do Sul"/>
    <s v="CASTRO"/>
    <x v="0"/>
  </r>
  <r>
    <s v="RECEBIDO (D)"/>
    <x v="10"/>
    <d v="1899-12-30T03:33:00"/>
    <n v="142"/>
    <n v="200"/>
    <m/>
    <s v="1CQFA25ALS0160148"/>
    <x v="16"/>
    <m/>
    <s v="NÃO INFORMADO- NÃO TEM NF"/>
    <s v="carolina.quadros"/>
    <s v="CASTRO"/>
    <s v="CLIENTE"/>
    <s v="DE LOJA PARA DEMONSTRAÇÃO"/>
    <s v="MPA"/>
    <s v="https://maps.app.goo.gl/kgJbu1HMjsUxtg7P7"/>
    <s v="Conexão JD - Piraí do Sul"/>
    <s v="CASTRO"/>
    <x v="1"/>
  </r>
  <r>
    <s v="RECEBIDO (D)"/>
    <x v="10"/>
    <d v="1899-12-30T03:33:00"/>
    <n v="142"/>
    <n v="800"/>
    <m/>
    <s v="1CQS440AVS0155148"/>
    <x v="16"/>
    <m/>
    <s v="NÃO INFORMADO- NÃO TEM NF"/>
    <s v="carolina.quadros"/>
    <s v="CASTRO"/>
    <s v="CLIENTE"/>
    <s v="DE LOJA PARA DEMONSTRAÇÃO"/>
    <s v="MPA"/>
    <s v="https://maps.app.goo.gl/kgJbu1HMjsUxtg7P7"/>
    <s v="Conexão JD - Piraí do Sul"/>
    <s v="CASTRO"/>
    <x v="2"/>
  </r>
  <r>
    <s v="RECEBIDO (D)"/>
    <x v="10"/>
    <d v="1899-12-30T07:09:00"/>
    <n v="286"/>
    <n v="1716"/>
    <m/>
    <s v="1BM5080ETS6204305"/>
    <x v="17"/>
    <m/>
    <s v="NÃO INFORMADO- NÃO TEM NF"/>
    <s v="carolina.quadros"/>
    <s v="TIBAGI"/>
    <s v="CLIENTE"/>
    <s v="DE LOJA PARA DEMONSTRAÇÃO"/>
    <s v="MPA"/>
    <s v="https://maps.app.goo.gl/1TQNr4KwZ3aiboXJ6"/>
    <s v="Conexão JD + Jantar - Ortigueira -Sindicato Rural"/>
    <s v="TIBAGI"/>
    <x v="0"/>
  </r>
  <r>
    <s v="RECEBIDO (D)"/>
    <x v="10"/>
    <d v="1899-12-30T07:09:00"/>
    <n v="286"/>
    <n v="1716"/>
    <m/>
    <s v="1BM5080EVS4204226"/>
    <x v="17"/>
    <m/>
    <s v="NÃO INFORMADO- NÃO TEM NF"/>
    <s v="carolina.quadros"/>
    <s v="TIBAGI"/>
    <s v="CLIENTE"/>
    <s v="DE LOJA PARA DEMONSTRAÇÃO"/>
    <s v="MPA"/>
    <s v="https://maps.app.goo.gl/1TQNr4KwZ3aiboXJ6"/>
    <s v="Conexão JD + Jantar - Ortigueira -Sindicato Rural"/>
    <s v="TIBAGI"/>
    <x v="0"/>
  </r>
  <r>
    <s v="RECEBIDO (D)"/>
    <x v="10"/>
    <d v="1899-12-30T07:09:00"/>
    <n v="286"/>
    <n v="600"/>
    <m/>
    <s v="1CQFA25ALS0160148"/>
    <x v="17"/>
    <m/>
    <s v="NÃO INFORMADO- NÃO TEM NF"/>
    <s v="carolina.quadros"/>
    <s v="TIBAGI"/>
    <s v="CLIENTE"/>
    <s v="DE LOJA PARA DEMONSTRAÇÃO"/>
    <s v="MPA"/>
    <s v="https://maps.app.goo.gl/1TQNr4KwZ3aiboXJ6"/>
    <s v="Conexão JD + Jantar - Ortigueira -Sindicato Rural"/>
    <s v="TIBAGI"/>
    <x v="1"/>
  </r>
  <r>
    <s v="RECEBIDO (D)"/>
    <x v="10"/>
    <d v="1899-12-30T07:09:00"/>
    <n v="286"/>
    <n v="1400"/>
    <m/>
    <s v="1CQS440AVS0155148"/>
    <x v="17"/>
    <m/>
    <s v="NÃO INFORMADO- NÃO TEM NF"/>
    <s v="carolina.quadros"/>
    <s v="TIBAGI"/>
    <s v="CLIENTE"/>
    <s v="DE LOJA PARA DEMONSTRAÇÃO"/>
    <s v="MPA"/>
    <s v="https://maps.app.goo.gl/1TQNr4KwZ3aiboXJ6"/>
    <s v="Conexão JD + Jantar - Ortigueira -Sindicato Rural"/>
    <s v="TIBAGI"/>
    <x v="2"/>
  </r>
  <r>
    <s v="SUSPENSO"/>
    <x v="10"/>
    <d v="1899-12-30T00:40:30"/>
    <n v="27"/>
    <n v="100"/>
    <m/>
    <s v="1CQFA25ALS0160148"/>
    <x v="18"/>
    <m/>
    <s v="SITIO SÃO JOÃO -NF279149"/>
    <s v="carolina.quadros"/>
    <s v="PONTA GROSSA"/>
    <s v="CLIENTE"/>
    <s v="DE LOJA PARA DEMONSTRAÇÃO"/>
    <s v="MPA"/>
    <s v="https://maps.app.goo.gl/Pdqbe6rfdzAyjWvL8"/>
    <s v="Demonstração + Dia de Campo - Ponta Grossa"/>
    <s v="PONTA GROSSA"/>
    <x v="1"/>
  </r>
  <r>
    <s v="SUSPENSO"/>
    <x v="10"/>
    <d v="1899-12-30T00:40:30"/>
    <n v="27"/>
    <n v="200"/>
    <m/>
    <s v="1CQS440AVS0155148"/>
    <x v="18"/>
    <m/>
    <s v="SITIO SÃO JOÃO -NF279149"/>
    <s v="carolina.quadros"/>
    <s v="PONTA GROSSA"/>
    <s v="CLIENTE"/>
    <s v="DE LOJA PARA DEMONSTRAÇÃO"/>
    <s v="MPA"/>
    <s v="https://maps.app.goo.gl/Pdqbe6rfdzAyjWvL8"/>
    <s v="Demonstração + Dia de Campo - Ponta Grossa"/>
    <s v="PONTA GROSSA"/>
    <x v="2"/>
  </r>
  <r>
    <s v="SUSPENSO"/>
    <x v="10"/>
    <d v="1899-12-30T02:34:30"/>
    <n v="103"/>
    <n v="618"/>
    <m/>
    <s v="1BM5080EVS6204327"/>
    <x v="18"/>
    <m/>
    <s v="MARIA BORKOSKI -NF278379"/>
    <s v="marcos.ribas"/>
    <s v="PONTA GROSSA"/>
    <s v="CLIENTE"/>
    <s v="DE LOJA PARA CLIENTE"/>
    <s v="MPA"/>
    <s v="https://maps.app.goo.gl/pz4jP4cRzqhcm3mP6"/>
    <s v="GERALDO - GABRIEL - AVISAR CLEBER PARA ACOMPANHAR"/>
    <s v="PONTA GROSSA"/>
    <x v="0"/>
  </r>
  <r>
    <s v="SUSPENSO"/>
    <x v="10"/>
    <d v="1899-12-30T02:34:30"/>
    <n v="103"/>
    <n v="618"/>
    <m/>
    <s v="1BM5080EVS6204375"/>
    <x v="18"/>
    <m/>
    <s v="CARLA BORKOSKI -NF278340"/>
    <s v="marcos.ribas"/>
    <s v="PONTA GROSSA"/>
    <s v="CLIENTE"/>
    <s v="DE LOJA PARA CLIENTE"/>
    <s v="MPA"/>
    <s v="https://maps.app.goo.gl/pz4jP4cRzqhcm3mP6"/>
    <s v="GERALDO - GABRIEL - AVISAR CLEBER PARA ACOMPANHAR"/>
    <s v="PONTA GROSSA"/>
    <x v="0"/>
  </r>
  <r>
    <s v="SUSPENSO"/>
    <x v="10"/>
    <d v="1899-12-30T03:30:00"/>
    <n v="140"/>
    <n v="200"/>
    <m/>
    <s v="1CQFA25AES0160153"/>
    <x v="18"/>
    <m/>
    <s v="MARCELO RIBEIRO DE NARDI -NF"/>
    <s v="marcos.ribas"/>
    <s v="PONTA GROSSA"/>
    <s v="CLIENTE"/>
    <s v="DE LOJA PARA CLIENTE"/>
    <s v="MPA"/>
    <s v="https://maps.app.goo.gl/a7As7SRaDnZSRB6c6"/>
    <s v="DANILO - AVISAR ROITEMAN PARA ACOMPANHAR"/>
    <s v="PONTA GROSSA"/>
    <x v="1"/>
  </r>
  <r>
    <s v="SUSPENSO"/>
    <x v="10"/>
    <d v="1899-12-30T03:30:00"/>
    <n v="140"/>
    <n v="800"/>
    <m/>
    <s v="1CQS440AES0155172"/>
    <x v="18"/>
    <m/>
    <s v="MARCELO RIBEIRO DE NARDI -NF"/>
    <s v="marcos.ribas"/>
    <s v="PONTA GROSSA"/>
    <s v="CLIENTE"/>
    <s v="DE LOJA PARA CLIENTE"/>
    <s v="MPA"/>
    <s v="https://maps.app.goo.gl/a7As7SRaDnZSRB6c6"/>
    <s v="DANILO - AVISAR ROITEMAN PARA ACOMPANHAR"/>
    <s v="PONTA GROSSA"/>
    <x v="2"/>
  </r>
  <r>
    <m/>
    <x v="11"/>
    <m/>
    <m/>
    <m/>
    <m/>
    <m/>
    <x v="19"/>
    <m/>
    <m/>
    <m/>
    <m/>
    <m/>
    <m/>
    <m/>
    <m/>
    <m/>
    <m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x v="0"/>
    <x v="0"/>
    <s v="047889"/>
    <s v="012154080"/>
    <x v="0"/>
    <n v="52"/>
  </r>
  <r>
    <x v="1"/>
    <x v="0"/>
    <x v="1"/>
    <s v="047552"/>
    <s v="046304055"/>
    <x v="1"/>
    <n v="500"/>
  </r>
  <r>
    <x v="1"/>
    <x v="0"/>
    <x v="1"/>
    <s v="047552"/>
    <s v="046304055"/>
    <x v="1"/>
    <n v="300"/>
  </r>
  <r>
    <x v="1"/>
    <x v="0"/>
    <x v="1"/>
    <s v="047552"/>
    <s v="046304055"/>
    <x v="1"/>
    <n v="300"/>
  </r>
  <r>
    <x v="2"/>
    <x v="1"/>
    <x v="1"/>
    <s v="047315"/>
    <s v="006914002"/>
    <x v="2"/>
    <n v="1000"/>
  </r>
  <r>
    <x v="3"/>
    <x v="2"/>
    <x v="2"/>
    <s v="047805"/>
    <s v="018725298"/>
    <x v="3"/>
    <n v="650"/>
  </r>
  <r>
    <x v="4"/>
    <x v="2"/>
    <x v="2"/>
    <s v="047805"/>
    <s v="018725298"/>
    <x v="3"/>
    <n v="650"/>
  </r>
  <r>
    <x v="1"/>
    <x v="2"/>
    <x v="2"/>
    <s v="047805"/>
    <s v="018725298"/>
    <x v="3"/>
    <n v="1352"/>
  </r>
  <r>
    <x v="5"/>
    <x v="3"/>
    <x v="2"/>
    <s v="047258"/>
    <s v="061196032"/>
    <x v="4"/>
    <n v="200"/>
  </r>
  <r>
    <x v="5"/>
    <x v="3"/>
    <x v="2"/>
    <s v="047247"/>
    <s v="049138592"/>
    <x v="5"/>
    <n v="1210"/>
  </r>
  <r>
    <x v="5"/>
    <x v="2"/>
    <x v="2"/>
    <s v="047246"/>
    <s v="049138592"/>
    <x v="5"/>
    <n v="550"/>
  </r>
  <r>
    <x v="5"/>
    <x v="0"/>
    <x v="2"/>
    <s v="047233"/>
    <s v="049138592"/>
    <x v="5"/>
    <n v="180"/>
  </r>
  <r>
    <x v="5"/>
    <x v="1"/>
    <x v="2"/>
    <s v="047243"/>
    <s v="049138592"/>
    <x v="5"/>
    <n v="990"/>
  </r>
  <r>
    <x v="5"/>
    <x v="4"/>
    <x v="2"/>
    <s v="047244"/>
    <s v="049138592"/>
    <x v="5"/>
    <n v="245"/>
  </r>
  <r>
    <x v="5"/>
    <x v="5"/>
    <x v="2"/>
    <s v="047249"/>
    <s v="049138592"/>
    <x v="5"/>
    <n v="8245"/>
  </r>
  <r>
    <x v="5"/>
    <x v="3"/>
    <x v="2"/>
    <s v="047267"/>
    <s v="061196032"/>
    <x v="4"/>
    <n v="200"/>
  </r>
  <r>
    <x v="0"/>
    <x v="1"/>
    <x v="2"/>
    <s v="047186"/>
    <s v="027525938"/>
    <x v="6"/>
    <n v="1100"/>
  </r>
  <r>
    <x v="0"/>
    <x v="0"/>
    <x v="2"/>
    <s v="047187"/>
    <s v="027525938"/>
    <x v="6"/>
    <n v="550"/>
  </r>
  <r>
    <x v="0"/>
    <x v="5"/>
    <x v="2"/>
    <s v="047188"/>
    <s v="027525938"/>
    <x v="6"/>
    <n v="600"/>
  </r>
  <r>
    <x v="0"/>
    <x v="4"/>
    <x v="2"/>
    <s v="047189"/>
    <s v="027525938"/>
    <x v="6"/>
    <n v="550"/>
  </r>
  <r>
    <x v="0"/>
    <x v="6"/>
    <x v="2"/>
    <s v="047190"/>
    <s v="027525938"/>
    <x v="6"/>
    <n v="850"/>
  </r>
  <r>
    <x v="0"/>
    <x v="2"/>
    <x v="2"/>
    <s v="047192"/>
    <s v="027525938"/>
    <x v="6"/>
    <n v="1100"/>
  </r>
  <r>
    <x v="0"/>
    <x v="3"/>
    <x v="2"/>
    <s v="047193"/>
    <s v="027525938"/>
    <x v="6"/>
    <n v="830"/>
  </r>
  <r>
    <x v="1"/>
    <x v="0"/>
    <x v="3"/>
    <s v="047269"/>
    <s v="032878844"/>
    <x v="7"/>
    <n v="910"/>
  </r>
  <r>
    <x v="1"/>
    <x v="1"/>
    <x v="3"/>
    <s v="047315"/>
    <s v="006914002"/>
    <x v="2"/>
    <n v="1295"/>
  </r>
  <r>
    <x v="5"/>
    <x v="4"/>
    <x v="3"/>
    <s v="047199"/>
    <s v="034154225"/>
    <x v="8"/>
    <n v="150"/>
  </r>
  <r>
    <x v="5"/>
    <x v="3"/>
    <x v="3"/>
    <s v="047437"/>
    <s v="061196032"/>
    <x v="4"/>
    <n v="80"/>
  </r>
  <r>
    <x v="5"/>
    <x v="2"/>
    <x v="3"/>
    <s v="047525"/>
    <s v="051496564"/>
    <x v="9"/>
    <n v="400"/>
  </r>
  <r>
    <x v="6"/>
    <x v="5"/>
    <x v="3"/>
    <s v="047178"/>
    <s v="004892707"/>
    <x v="10"/>
    <n v="87.62"/>
  </r>
  <r>
    <x v="7"/>
    <x v="5"/>
    <x v="4"/>
    <s v="047117"/>
    <s v="078206513"/>
    <x v="11"/>
    <n v="156.18"/>
  </r>
  <r>
    <x v="7"/>
    <x v="5"/>
    <x v="4"/>
    <s v="047117"/>
    <s v="078206513"/>
    <x v="11"/>
    <n v="94.61"/>
  </r>
  <r>
    <x v="1"/>
    <x v="1"/>
    <x v="4"/>
    <s v="047315"/>
    <s v="006914002"/>
    <x v="2"/>
    <n v="975"/>
  </r>
  <r>
    <x v="1"/>
    <x v="2"/>
    <x v="4"/>
    <s v="047805"/>
    <s v="018725298"/>
    <x v="3"/>
    <n v="1458"/>
  </r>
  <r>
    <x v="5"/>
    <x v="6"/>
    <x v="4"/>
    <s v="047267"/>
    <s v="051496564"/>
    <x v="9"/>
    <n v="520"/>
  </r>
  <r>
    <x v="5"/>
    <x v="2"/>
    <x v="4"/>
    <s v="047268"/>
    <s v="051496564"/>
    <x v="9"/>
    <n v="180"/>
  </r>
  <r>
    <x v="5"/>
    <x v="5"/>
    <x v="4"/>
    <s v="047348"/>
    <s v="080227796"/>
    <x v="12"/>
    <n v="529.48"/>
  </r>
  <r>
    <x v="5"/>
    <x v="5"/>
    <x v="4"/>
    <s v="047348"/>
    <s v="080227796"/>
    <x v="12"/>
    <n v="371.14"/>
  </r>
  <r>
    <x v="5"/>
    <x v="0"/>
    <x v="4"/>
    <s v="047328"/>
    <s v="031370636"/>
    <x v="13"/>
    <n v="180"/>
  </r>
  <r>
    <x v="5"/>
    <x v="6"/>
    <x v="5"/>
    <s v="047349"/>
    <s v="012772524"/>
    <x v="14"/>
    <n v="1860"/>
  </r>
  <r>
    <x v="8"/>
    <x v="5"/>
    <x v="5"/>
    <s v="047553"/>
    <s v="050435638"/>
    <x v="15"/>
    <n v="500"/>
  </r>
  <r>
    <x v="8"/>
    <x v="5"/>
    <x v="5"/>
    <s v="047553"/>
    <s v="050435638"/>
    <x v="15"/>
    <n v="397"/>
  </r>
  <r>
    <x v="1"/>
    <x v="2"/>
    <x v="6"/>
    <s v="047806"/>
    <s v="018725298"/>
    <x v="3"/>
    <n v="2890"/>
  </r>
  <r>
    <x v="5"/>
    <x v="2"/>
    <x v="6"/>
    <s v="047527"/>
    <s v="051496564"/>
    <x v="9"/>
    <n v="420"/>
  </r>
  <r>
    <x v="0"/>
    <x v="5"/>
    <x v="6"/>
    <s v="047750"/>
    <s v="080227796"/>
    <x v="12"/>
    <n v="345.91"/>
  </r>
  <r>
    <x v="0"/>
    <x v="5"/>
    <x v="6"/>
    <s v="047750"/>
    <s v="080227796"/>
    <x v="12"/>
    <n v="49.74"/>
  </r>
  <r>
    <x v="0"/>
    <x v="5"/>
    <x v="6"/>
    <s v="047750"/>
    <s v="080227796"/>
    <x v="12"/>
    <n v="46.32"/>
  </r>
  <r>
    <x v="8"/>
    <x v="5"/>
    <x v="6"/>
    <s v="047383"/>
    <s v="010273940"/>
    <x v="16"/>
    <n v="2780"/>
  </r>
  <r>
    <x v="8"/>
    <x v="5"/>
    <x v="6"/>
    <s v="047383"/>
    <s v="010273940"/>
    <x v="16"/>
    <n v="840"/>
  </r>
  <r>
    <x v="5"/>
    <x v="2"/>
    <x v="7"/>
    <s v="047525"/>
    <s v="051496564"/>
    <x v="9"/>
    <n v="250"/>
  </r>
  <r>
    <x v="5"/>
    <x v="4"/>
    <x v="7"/>
    <s v="047550"/>
    <s v="031370636"/>
    <x v="13"/>
    <n v="700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0"/>
    <x v="5"/>
    <x v="7"/>
    <s v="047757"/>
    <s v="056953013"/>
    <x v="17"/>
    <n v="884.29"/>
  </r>
  <r>
    <x v="9"/>
    <x v="5"/>
    <x v="7"/>
    <s v="047116"/>
    <s v="076669324"/>
    <x v="18"/>
    <n v="133.13"/>
  </r>
  <r>
    <x v="1"/>
    <x v="2"/>
    <x v="8"/>
    <s v="047806"/>
    <s v="018725298"/>
    <x v="3"/>
    <n v="1389"/>
  </r>
  <r>
    <x v="5"/>
    <x v="6"/>
    <x v="8"/>
    <s v="047685"/>
    <s v="059376166"/>
    <x v="19"/>
    <n v="2390"/>
  </r>
  <r>
    <x v="2"/>
    <x v="0"/>
    <x v="8"/>
    <s v="047573"/>
    <s v="030877442"/>
    <x v="20"/>
    <n v="1262"/>
  </r>
  <r>
    <x v="5"/>
    <x v="3"/>
    <x v="9"/>
    <s v="047687"/>
    <s v="061196032"/>
    <x v="4"/>
    <n v="70"/>
  </r>
  <r>
    <x v="2"/>
    <x v="5"/>
    <x v="9"/>
    <s v="047801"/>
    <s v="000495608"/>
    <x v="21"/>
    <n v="440"/>
  </r>
  <r>
    <x v="1"/>
    <x v="1"/>
    <x v="10"/>
    <s v="047572"/>
    <s v="019320206"/>
    <x v="22"/>
    <n v="1000"/>
  </r>
  <r>
    <x v="2"/>
    <x v="2"/>
    <x v="10"/>
    <s v="047758"/>
    <s v="061028125"/>
    <x v="23"/>
    <n v="270"/>
  </r>
  <r>
    <x v="10"/>
    <x v="5"/>
    <x v="11"/>
    <s v="047732"/>
    <s v="024586837"/>
    <x v="24"/>
    <n v="4175"/>
  </r>
  <r>
    <x v="11"/>
    <x v="1"/>
    <x v="11"/>
    <s v="047752"/>
    <s v="019320206"/>
    <x v="22"/>
    <n v="300"/>
  </r>
  <r>
    <x v="11"/>
    <x v="1"/>
    <x v="11"/>
    <s v="047752"/>
    <s v="019320206"/>
    <x v="22"/>
    <n v="300"/>
  </r>
  <r>
    <x v="3"/>
    <x v="1"/>
    <x v="11"/>
    <s v="047752"/>
    <s v="019320206"/>
    <x v="22"/>
    <n v="800"/>
  </r>
  <r>
    <x v="3"/>
    <x v="1"/>
    <x v="11"/>
    <s v="047752"/>
    <s v="019320206"/>
    <x v="22"/>
    <n v="800"/>
  </r>
  <r>
    <x v="3"/>
    <x v="1"/>
    <x v="11"/>
    <s v="047802"/>
    <s v="032603119"/>
    <x v="25"/>
    <n v="3800"/>
  </r>
  <r>
    <x v="3"/>
    <x v="1"/>
    <x v="11"/>
    <s v="047872"/>
    <s v="061259226"/>
    <x v="26"/>
    <n v="6740"/>
  </r>
  <r>
    <x v="4"/>
    <x v="1"/>
    <x v="11"/>
    <s v="047752"/>
    <s v="019320206"/>
    <x v="22"/>
    <n v="400"/>
  </r>
  <r>
    <x v="4"/>
    <x v="1"/>
    <x v="11"/>
    <s v="047752"/>
    <s v="019320206"/>
    <x v="22"/>
    <n v="400"/>
  </r>
  <r>
    <x v="4"/>
    <x v="1"/>
    <x v="11"/>
    <s v="047802"/>
    <s v="032603119"/>
    <x v="25"/>
    <n v="1600"/>
  </r>
  <r>
    <x v="1"/>
    <x v="6"/>
    <x v="11"/>
    <s v="047804"/>
    <s v="018725298"/>
    <x v="3"/>
    <n v="3662.3"/>
  </r>
  <r>
    <x v="1"/>
    <x v="0"/>
    <x v="11"/>
    <s v="047892"/>
    <s v="046304055"/>
    <x v="1"/>
    <n v="300"/>
  </r>
  <r>
    <x v="1"/>
    <x v="0"/>
    <x v="11"/>
    <s v="047892"/>
    <s v="046304055"/>
    <x v="1"/>
    <n v="450"/>
  </r>
  <r>
    <x v="1"/>
    <x v="4"/>
    <x v="11"/>
    <s v="047893"/>
    <s v="046304055"/>
    <x v="1"/>
    <n v="430"/>
  </r>
  <r>
    <x v="2"/>
    <x v="1"/>
    <x v="11"/>
    <s v="047738"/>
    <s v="006914002"/>
    <x v="2"/>
    <n v="800"/>
  </r>
  <r>
    <x v="12"/>
    <x v="5"/>
    <x v="11"/>
    <s v="047733"/>
    <s v="037969440"/>
    <x v="27"/>
    <n v="800.04"/>
  </r>
  <r>
    <x v="8"/>
    <x v="5"/>
    <x v="11"/>
    <s v="047800"/>
    <s v="010273940"/>
    <x v="16"/>
    <n v="216"/>
  </r>
  <r>
    <x v="8"/>
    <x v="5"/>
    <x v="11"/>
    <s v="047800"/>
    <s v="010273940"/>
    <x v="16"/>
    <n v="120"/>
  </r>
  <r>
    <x v="13"/>
    <x v="2"/>
    <x v="12"/>
    <s v="047803"/>
    <s v="006233947"/>
    <x v="28"/>
    <n v="9600"/>
  </r>
  <r>
    <x v="1"/>
    <x v="1"/>
    <x v="12"/>
    <s v="047872"/>
    <s v="061259226"/>
    <x v="26"/>
    <n v="1328"/>
  </r>
  <r>
    <x v="5"/>
    <x v="5"/>
    <x v="12"/>
    <s v="047871"/>
    <s v="051496564"/>
    <x v="9"/>
    <n v="200"/>
  </r>
  <r>
    <x v="2"/>
    <x v="1"/>
    <x v="12"/>
    <s v="047873"/>
    <s v="033254429"/>
    <x v="29"/>
    <n v="945"/>
  </r>
  <r>
    <x v="3"/>
    <x v="1"/>
    <x v="13"/>
    <s v="047895"/>
    <s v="019320206"/>
    <x v="22"/>
    <n v="900"/>
  </r>
  <r>
    <x v="14"/>
    <x v="1"/>
    <x v="13"/>
    <s v="047897"/>
    <s v="019320206"/>
    <x v="22"/>
    <n v="2000"/>
  </r>
  <r>
    <x v="4"/>
    <x v="1"/>
    <x v="13"/>
    <s v="047895"/>
    <s v="019320206"/>
    <x v="22"/>
    <n v="300"/>
  </r>
  <r>
    <x v="1"/>
    <x v="4"/>
    <x v="14"/>
    <s v="047893"/>
    <s v="046304055"/>
    <x v="1"/>
    <n v="550"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s v="0"/>
    <x v="30"/>
    <m/>
  </r>
  <r>
    <x v="15"/>
    <x v="7"/>
    <x v="15"/>
    <m/>
    <m/>
    <x v="3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823A1-254F-4BAF-8640-2BE0DC94BB1D}" name="G0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MOTOBOY">
  <location ref="D46:E54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x="5"/>
        <item h="1"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axis="axisRow" showAll="0" sortType="descending">
      <items count="9">
        <item x="1"/>
        <item x="6"/>
        <item x="2"/>
        <item x="0"/>
        <item x="5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8">
    <i>
      <x v="4"/>
    </i>
    <i>
      <x v="1"/>
    </i>
    <i>
      <x v="2"/>
    </i>
    <i>
      <x v="6"/>
    </i>
    <i>
      <x v="5"/>
    </i>
    <i>
      <x/>
    </i>
    <i>
      <x v="3"/>
    </i>
    <i t="grand">
      <x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0">
    <format dxfId="148">
      <pivotArea outline="0" collapsedLevelsAreSubtotals="1" fieldPosition="0"/>
    </format>
    <format dxfId="147">
      <pivotArea dataOnly="0" labelOnly="1" outline="0" axis="axisValues" fieldPosition="0"/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1" type="button" dataOnly="0" labelOnly="1" outline="0" axis="axisRow" fieldPosition="0"/>
    </format>
    <format dxfId="143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1" type="button" dataOnly="0" labelOnly="1" outline="0" axis="axisRow" fieldPosition="0"/>
    </format>
    <format dxfId="137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136">
      <pivotArea dataOnly="0" labelOnly="1" grandRow="1" outline="0" fieldPosition="0"/>
    </format>
    <format dxfId="135">
      <pivotArea dataOnly="0" labelOnly="1" outline="0" axis="axisValues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1" type="button" dataOnly="0" labelOnly="1" outline="0" axis="axisRow" fieldPosition="0"/>
    </format>
    <format dxfId="131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130">
      <pivotArea dataOnly="0" labelOnly="1" grandRow="1" outline="0" fieldPosition="0"/>
    </format>
    <format dxfId="129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A091B-C219-4BC2-9F66-38E2D29C6219}" name="G0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 rowHeaderCaption="TERCEIRO" colHeaderCaption=".">
  <location ref="A28:C36" firstHeaderRow="0" firstDataRow="1" firstDataCol="1"/>
  <pivotFields count="19">
    <pivotField showAll="0" defaultSubtotal="0"/>
    <pivotField axis="axisRow" showAll="0" measureFilter="1" sortType="descending" defaultSubtotal="0">
      <items count="12">
        <item x="11"/>
        <item x="8"/>
        <item x="2"/>
        <item x="4"/>
        <item x="1"/>
        <item x="7"/>
        <item x="0"/>
        <item x="9"/>
        <item x="6"/>
        <item x="3"/>
        <item x="5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7">
        <item x="5"/>
        <item x="2"/>
        <item x="4"/>
        <item x="1"/>
        <item x="3"/>
        <item x="0"/>
        <item h="1" x="6"/>
      </items>
    </pivotField>
  </pivotFields>
  <rowFields count="1">
    <field x="1"/>
  </rowFields>
  <rowItems count="8">
    <i>
      <x v="4"/>
    </i>
    <i>
      <x v="7"/>
    </i>
    <i>
      <x v="8"/>
    </i>
    <i>
      <x v="1"/>
    </i>
    <i>
      <x v="6"/>
    </i>
    <i>
      <x v="3"/>
    </i>
    <i>
      <x v="5"/>
    </i>
    <i>
      <x v="2"/>
    </i>
  </rowItems>
  <colFields count="1">
    <field x="-2"/>
  </colFields>
  <colItems count="2">
    <i>
      <x/>
    </i>
    <i i="1">
      <x v="1"/>
    </i>
  </colItems>
  <dataFields count="2">
    <dataField name="Valor Total" fld="5" baseField="18" baseItem="0"/>
    <dataField name="Total KM" fld="3" baseField="0" baseItem="0" numFmtId="1"/>
  </dataFields>
  <formats count="40">
    <format dxfId="188">
      <pivotArea type="all" dataOnly="0" outline="0" fieldPosition="0"/>
    </format>
    <format dxfId="187">
      <pivotArea outline="0" collapsedLevelsAreSubtotals="1" fieldPosition="0"/>
    </format>
    <format dxfId="186">
      <pivotArea type="origin" dataOnly="0" labelOnly="1" outline="0" fieldPosition="0"/>
    </format>
    <format dxfId="185">
      <pivotArea field="18" type="button" dataOnly="0" labelOnly="1" outline="0"/>
    </format>
    <format dxfId="184">
      <pivotArea type="topRight" dataOnly="0" labelOnly="1" outline="0" fieldPosition="0"/>
    </format>
    <format dxfId="183">
      <pivotArea field="-2" type="button" dataOnly="0" labelOnly="1" outline="0" axis="axisCol" fieldPosition="0"/>
    </format>
    <format dxfId="1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1">
      <pivotArea dataOnly="0" labelOnly="1" grandCol="1" outline="0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8" type="button" dataOnly="0" labelOnly="1" outline="0"/>
    </format>
    <format dxfId="176">
      <pivotArea type="topRight" dataOnly="0" labelOnly="1" outline="0" fieldPosition="0"/>
    </format>
    <format dxfId="175">
      <pivotArea field="-2" type="button" dataOnly="0" labelOnly="1" outline="0" axis="axisCol" fieldPosition="0"/>
    </format>
    <format dxfId="174">
      <pivotArea dataOnly="0" labelOnly="1" grandCol="1" outline="0" fieldPosition="0"/>
    </format>
    <format dxfId="173">
      <pivotArea outline="0" collapsedLevelsAreSubtotals="1" fieldPosition="0"/>
    </format>
    <format dxfId="172">
      <pivotArea grandCol="1" outline="0" collapsedLevelsAreSubtotals="1" fieldPosition="0"/>
    </format>
    <format dxfId="171">
      <pivotArea dataOnly="0" labelOnly="1" grandCol="1" outline="0" fieldPosition="0"/>
    </format>
    <format dxfId="170">
      <pivotArea grandCol="1" outline="0" collapsedLevelsAreSubtotals="1" fieldPosition="0"/>
    </format>
    <format dxfId="16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1" type="button" dataOnly="0" labelOnly="1" outline="0" axis="axisRow" fieldPosition="0"/>
    </format>
    <format dxfId="165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1" type="button" dataOnly="0" labelOnly="1" outline="0" axis="axisRow" fieldPosition="0"/>
    </format>
    <format dxfId="160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1" type="button" dataOnly="0" labelOnly="1" outline="0" axis="axisRow" fieldPosition="0"/>
    </format>
    <format dxfId="155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1" type="button" dataOnly="0" labelOnly="1" outline="0" axis="axisRow" fieldPosition="0"/>
    </format>
    <format dxfId="150">
      <pivotArea dataOnly="0" labelOnly="1" fieldPosition="0">
        <references count="1">
          <reference field="1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1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1FDF9-5557-4E2A-A9EC-52DCA452CFB0}" name="Tabela dinâ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MOTOBOY">
  <location ref="G73:H78" firstHeaderRow="1" firstDataRow="1" firstDataCol="1" rowPageCount="1" colPageCount="1"/>
  <pivotFields count="7">
    <pivotField axis="axisRow" multipleItemSelectionAllowed="1" showAll="0">
      <items count="20">
        <item h="1" x="10"/>
        <item h="1" x="7"/>
        <item h="1" x="11"/>
        <item h="1" x="3"/>
        <item h="1" x="14"/>
        <item h="1" x="4"/>
        <item h="1" x="13"/>
        <item h="1" x="1"/>
        <item h="1" m="1" x="18"/>
        <item h="1" x="5"/>
        <item h="1" x="0"/>
        <item h="1" m="1" x="17"/>
        <item m="1" x="16"/>
        <item h="1" x="2"/>
        <item x="12"/>
        <item x="9"/>
        <item x="6"/>
        <item x="8"/>
        <item h="1" x="1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2" hier="-1"/>
  </pageFields>
  <dataFields count="1">
    <dataField name="R$" fld="6" baseField="0" baseItem="0" numFmtId="164"/>
  </dataFields>
  <formats count="20">
    <format dxfId="208">
      <pivotArea outline="0" collapsedLevelsAreSubtotals="1" fieldPosition="0"/>
    </format>
    <format dxfId="207">
      <pivotArea dataOnly="0" labelOnly="1" outline="0" axis="axisValues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field="0" type="button" dataOnly="0" labelOnly="1" outline="0" axis="axisRow" fieldPosition="0"/>
    </format>
    <format dxfId="203">
      <pivotArea dataOnly="0" labelOnly="1" fieldPosition="0">
        <references count="1">
          <reference field="0" count="0"/>
        </references>
      </pivotArea>
    </format>
    <format dxfId="202">
      <pivotArea dataOnly="0" labelOnly="1" grandRow="1" outline="0" fieldPosition="0"/>
    </format>
    <format dxfId="201">
      <pivotArea dataOnly="0" labelOnly="1" outline="0" axis="axisValues" fieldPosition="0"/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0" type="button" dataOnly="0" labelOnly="1" outline="0" axis="axisRow" fieldPosition="0"/>
    </format>
    <format dxfId="197">
      <pivotArea dataOnly="0" labelOnly="1" fieldPosition="0">
        <references count="1">
          <reference field="0" count="0"/>
        </references>
      </pivotArea>
    </format>
    <format dxfId="196">
      <pivotArea dataOnly="0" labelOnly="1" grandRow="1" outline="0" fieldPosition="0"/>
    </format>
    <format dxfId="195">
      <pivotArea dataOnly="0" labelOnly="1" outline="0" axis="axisValues" fieldPosition="0"/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0" type="button" dataOnly="0" labelOnly="1" outline="0" axis="axisRow" fieldPosition="0"/>
    </format>
    <format dxfId="191">
      <pivotArea dataOnly="0" labelOnly="1" fieldPosition="0">
        <references count="1">
          <reference field="0" count="0"/>
        </references>
      </pivotArea>
    </format>
    <format dxfId="190">
      <pivotArea dataOnly="0" labelOnly="1" grandRow="1" outline="0" fieldPosition="0"/>
    </format>
    <format dxfId="189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7B784-1EC6-485D-BCE7-D22436DA15AA}" name="G0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MOTOBOY">
  <location ref="A61:B70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x="5"/>
        <item h="1"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axis="axisRow" showAll="0" sortType="descending">
      <items count="32">
        <item x="22"/>
        <item x="15"/>
        <item x="4"/>
        <item x="17"/>
        <item x="5"/>
        <item x="18"/>
        <item x="11"/>
        <item x="10"/>
        <item x="6"/>
        <item x="1"/>
        <item x="23"/>
        <item x="26"/>
        <item x="8"/>
        <item x="13"/>
        <item x="19"/>
        <item x="28"/>
        <item x="9"/>
        <item x="3"/>
        <item x="27"/>
        <item x="21"/>
        <item x="29"/>
        <item x="20"/>
        <item x="12"/>
        <item x="16"/>
        <item x="7"/>
        <item x="24"/>
        <item x="2"/>
        <item x="0"/>
        <item x="14"/>
        <item x="25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5"/>
  </rowFields>
  <rowItems count="9">
    <i>
      <x v="4"/>
    </i>
    <i>
      <x v="14"/>
    </i>
    <i>
      <x v="16"/>
    </i>
    <i>
      <x v="28"/>
    </i>
    <i>
      <x v="22"/>
    </i>
    <i>
      <x v="13"/>
    </i>
    <i>
      <x v="2"/>
    </i>
    <i>
      <x v="12"/>
    </i>
    <i t="grand">
      <x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0">
    <format dxfId="228">
      <pivotArea outline="0" collapsedLevelsAreSubtotals="1" fieldPosition="0"/>
    </format>
    <format dxfId="227">
      <pivotArea dataOnly="0" labelOnly="1" outline="0" axis="axisValues" fieldPosition="0"/>
    </format>
    <format dxfId="226">
      <pivotArea type="all" dataOnly="0" outline="0" fieldPosition="0"/>
    </format>
    <format dxfId="225">
      <pivotArea outline="0" collapsedLevelsAreSubtotals="1" fieldPosition="0"/>
    </format>
    <format dxfId="224">
      <pivotArea field="5" type="button" dataOnly="0" labelOnly="1" outline="0" axis="axisRow" fieldPosition="0"/>
    </format>
    <format dxfId="223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222">
      <pivotArea dataOnly="0" labelOnly="1" grandRow="1" outline="0" fieldPosition="0"/>
    </format>
    <format dxfId="221">
      <pivotArea dataOnly="0" labelOnly="1" outline="0" axis="axisValues" fieldPosition="0"/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5" type="button" dataOnly="0" labelOnly="1" outline="0" axis="axisRow" fieldPosition="0"/>
    </format>
    <format dxfId="217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216">
      <pivotArea dataOnly="0" labelOnly="1" grandRow="1" outline="0" fieldPosition="0"/>
    </format>
    <format dxfId="215">
      <pivotArea dataOnly="0" labelOnly="1" outline="0" axis="axisValues" fieldPosition="0"/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5" type="button" dataOnly="0" labelOnly="1" outline="0" axis="axisRow" fieldPosition="0"/>
    </format>
    <format dxfId="211">
      <pivotArea dataOnly="0" labelOnly="1" fieldPosition="0">
        <references count="1">
          <reference field="5" count="8">
            <x v="2"/>
            <x v="4"/>
            <x v="12"/>
            <x v="13"/>
            <x v="14"/>
            <x v="16"/>
            <x v="22"/>
            <x v="28"/>
          </reference>
        </references>
      </pivotArea>
    </format>
    <format dxfId="210">
      <pivotArea dataOnly="0" labelOnly="1" grandRow="1" outline="0" fieldPosition="0"/>
    </format>
    <format dxfId="209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994B7-2D51-4B06-93C3-4CE9203496CB}" name="G02" cacheId="0" dataPosition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9" colHeaderCaption=".">
  <location ref="A17:D23" firstHeaderRow="0" firstDataRow="1" firstDataCol="1" rowPageCount="1" colPageCount="1"/>
  <pivotFields count="19"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dataField="1" showAll="0" sortType="descending" defaultSubtotal="0">
      <items count="7">
        <item x="5"/>
        <item x="2"/>
        <item x="4"/>
        <item x="1"/>
        <item x="3"/>
        <item x="0"/>
        <item h="1" x="6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8"/>
  </rowFields>
  <rowItems count="6">
    <i>
      <x v="5"/>
    </i>
    <i>
      <x v="4"/>
    </i>
    <i>
      <x v="1"/>
    </i>
    <i>
      <x v="3"/>
    </i>
    <i>
      <x v="2"/>
    </i>
    <i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Soma Proprio" fld="4" baseField="18" baseItem="0"/>
    <dataField name="Soma Terceiro" fld="5" baseField="18" baseItem="0"/>
    <dataField name="Qtd Frete" fld="18" subtotal="count" baseField="0" baseItem="0"/>
  </dataFields>
  <formats count="48">
    <format dxfId="276">
      <pivotArea type="all" dataOnly="0" outline="0" fieldPosition="0"/>
    </format>
    <format dxfId="275">
      <pivotArea outline="0" collapsedLevelsAreSubtotals="1" fieldPosition="0"/>
    </format>
    <format dxfId="274">
      <pivotArea type="origin" dataOnly="0" labelOnly="1" outline="0" fieldPosition="0"/>
    </format>
    <format dxfId="273">
      <pivotArea field="18" type="button" dataOnly="0" labelOnly="1" outline="0" axis="axisRow" fieldPosition="0"/>
    </format>
    <format dxfId="272">
      <pivotArea type="topRight" dataOnly="0" labelOnly="1" outline="0" fieldPosition="0"/>
    </format>
    <format dxfId="271">
      <pivotArea field="-2" type="button" dataOnly="0" labelOnly="1" outline="0" axis="axisCol" fieldPosition="0"/>
    </format>
    <format dxfId="2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9">
      <pivotArea dataOnly="0" labelOnly="1" fieldPosition="0">
        <references count="1">
          <reference field="18" count="0"/>
        </references>
      </pivotArea>
    </format>
    <format dxfId="268">
      <pivotArea dataOnly="0" labelOnly="1" grandCol="1" outline="0" fieldPosition="0"/>
    </format>
    <format dxfId="267">
      <pivotArea type="all" dataOnly="0" outline="0" fieldPosition="0"/>
    </format>
    <format dxfId="266">
      <pivotArea outline="0" collapsedLevelsAreSubtotals="1" fieldPosition="0"/>
    </format>
    <format dxfId="265">
      <pivotArea type="origin" dataOnly="0" labelOnly="1" outline="0" fieldPosition="0"/>
    </format>
    <format dxfId="264">
      <pivotArea field="18" type="button" dataOnly="0" labelOnly="1" outline="0" axis="axisRow" fieldPosition="0"/>
    </format>
    <format dxfId="263">
      <pivotArea type="topRight" dataOnly="0" labelOnly="1" outline="0" fieldPosition="0"/>
    </format>
    <format dxfId="262">
      <pivotArea field="-2" type="button" dataOnly="0" labelOnly="1" outline="0" axis="axisCol" fieldPosition="0"/>
    </format>
    <format dxfId="2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0">
      <pivotArea dataOnly="0" labelOnly="1" fieldPosition="0">
        <references count="1">
          <reference field="18" count="0"/>
        </references>
      </pivotArea>
    </format>
    <format dxfId="259">
      <pivotArea dataOnly="0" labelOnly="1" grandCol="1" outline="0" fieldPosition="0"/>
    </format>
    <format dxfId="258">
      <pivotArea outline="0" collapsedLevelsAreSubtotals="1" fieldPosition="0"/>
    </format>
    <format dxfId="257">
      <pivotArea grandCol="1" outline="0" collapsedLevelsAreSubtotals="1" fieldPosition="0"/>
    </format>
    <format dxfId="256">
      <pivotArea dataOnly="0" labelOnly="1" grandCol="1" outline="0" fieldPosition="0"/>
    </format>
    <format dxfId="255">
      <pivotArea grandCol="1" outline="0" collapsedLevelsAreSubtotals="1" fieldPosition="0"/>
    </format>
    <format dxfId="254">
      <pivotArea outline="0" collapsedLevelsAreSubtotals="1" fieldPosition="0"/>
    </format>
    <format dxfId="253">
      <pivotArea collapsedLevelsAreSubtotals="1" fieldPosition="0">
        <references count="1">
          <reference field="4294967294" count="1">
            <x v="2"/>
          </reference>
        </references>
      </pivotArea>
    </format>
    <format dxfId="252">
      <pivotArea type="all" dataOnly="0" outline="0" fieldPosition="0"/>
    </format>
    <format dxfId="251">
      <pivotArea outline="0" collapsedLevelsAreSubtotals="1" fieldPosition="0"/>
    </format>
    <format dxfId="250">
      <pivotArea type="origin" dataOnly="0" labelOnly="1" outline="0" fieldPosition="0"/>
    </format>
    <format dxfId="249">
      <pivotArea field="18" type="button" dataOnly="0" labelOnly="1" outline="0" axis="axisRow" fieldPosition="0"/>
    </format>
    <format dxfId="248">
      <pivotArea type="topRight" dataOnly="0" labelOnly="1" outline="0" fieldPosition="0"/>
    </format>
    <format dxfId="247">
      <pivotArea field="-2" type="button" dataOnly="0" labelOnly="1" outline="0" axis="axisCol" fieldPosition="0"/>
    </format>
    <format dxfId="24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5">
      <pivotArea dataOnly="0" labelOnly="1" fieldPosition="0">
        <references count="1">
          <reference field="18" count="0"/>
        </references>
      </pivotArea>
    </format>
    <format dxfId="244">
      <pivotArea type="all" dataOnly="0" outline="0" fieldPosition="0"/>
    </format>
    <format dxfId="243">
      <pivotArea outline="0" collapsedLevelsAreSubtotals="1" fieldPosition="0"/>
    </format>
    <format dxfId="242">
      <pivotArea type="origin" dataOnly="0" labelOnly="1" outline="0" fieldPosition="0"/>
    </format>
    <format dxfId="241">
      <pivotArea field="18" type="button" dataOnly="0" labelOnly="1" outline="0" axis="axisRow" fieldPosition="0"/>
    </format>
    <format dxfId="240">
      <pivotArea type="topRight" dataOnly="0" labelOnly="1" outline="0" fieldPosition="0"/>
    </format>
    <format dxfId="239">
      <pivotArea field="-2" type="button" dataOnly="0" labelOnly="1" outline="0" axis="axisCol" fieldPosition="0"/>
    </format>
    <format dxfId="2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7">
      <pivotArea dataOnly="0" labelOnly="1" fieldPosition="0">
        <references count="1">
          <reference field="18" count="0"/>
        </references>
      </pivotArea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type="origin" dataOnly="0" labelOnly="1" outline="0" fieldPosition="0"/>
    </format>
    <format dxfId="233">
      <pivotArea field="18" type="button" dataOnly="0" labelOnly="1" outline="0" axis="axisRow" fieldPosition="0"/>
    </format>
    <format dxfId="232">
      <pivotArea type="topRight" dataOnly="0" labelOnly="1" outline="0" fieldPosition="0"/>
    </format>
    <format dxfId="231">
      <pivotArea field="-2" type="button" dataOnly="0" labelOnly="1" outline="0" axis="axisCol" fieldPosition="0"/>
    </format>
    <format dxfId="2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9">
      <pivotArea dataOnly="0" labelOnly="1" fieldPosition="0">
        <references count="1">
          <reference field="18" count="0"/>
        </references>
      </pivotArea>
    </format>
  </formats>
  <chartFormats count="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556B9-018D-4D81-AF7D-E263130E5434}" name="Tabela dinâ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MOTOBOY">
  <location ref="G60:H63" firstHeaderRow="1" firstDataRow="1" firstDataCol="1" rowPageCount="1" colPageCount="1"/>
  <pivotFields count="7">
    <pivotField axis="axisRow" multipleItemSelectionAllowed="1" showAll="0">
      <items count="20">
        <item x="10"/>
        <item x="7"/>
        <item h="1" x="11"/>
        <item h="1" x="3"/>
        <item h="1" x="14"/>
        <item h="1" x="4"/>
        <item h="1" x="13"/>
        <item h="1" x="1"/>
        <item h="1" m="1" x="18"/>
        <item h="1" x="5"/>
        <item h="1" x="0"/>
        <item m="1" x="17"/>
        <item h="1" m="1" x="16"/>
        <item h="1" x="2"/>
        <item h="1" x="12"/>
        <item h="1" x="9"/>
        <item h="1" x="6"/>
        <item h="1" x="8"/>
        <item h="1" x="1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R$" fld="6" baseField="0" baseItem="0" numFmtId="164"/>
  </dataFields>
  <formats count="20">
    <format dxfId="296">
      <pivotArea outline="0" collapsedLevelsAreSubtotals="1" fieldPosition="0"/>
    </format>
    <format dxfId="295">
      <pivotArea dataOnly="0" labelOnly="1" outline="0" axis="axisValues" fieldPosition="0"/>
    </format>
    <format dxfId="294">
      <pivotArea type="all" dataOnly="0" outline="0" fieldPosition="0"/>
    </format>
    <format dxfId="293">
      <pivotArea outline="0" collapsedLevelsAreSubtotals="1" fieldPosition="0"/>
    </format>
    <format dxfId="292">
      <pivotArea field="0" type="button" dataOnly="0" labelOnly="1" outline="0" axis="axisRow" fieldPosition="0"/>
    </format>
    <format dxfId="291">
      <pivotArea dataOnly="0" labelOnly="1" fieldPosition="0">
        <references count="1">
          <reference field="0" count="0"/>
        </references>
      </pivotArea>
    </format>
    <format dxfId="290">
      <pivotArea dataOnly="0" labelOnly="1" grandRow="1" outline="0" fieldPosition="0"/>
    </format>
    <format dxfId="289">
      <pivotArea dataOnly="0" labelOnly="1" outline="0" axis="axisValues" fieldPosition="0"/>
    </format>
    <format dxfId="288">
      <pivotArea type="all" dataOnly="0" outline="0" fieldPosition="0"/>
    </format>
    <format dxfId="287">
      <pivotArea outline="0" collapsedLevelsAreSubtotals="1" fieldPosition="0"/>
    </format>
    <format dxfId="286">
      <pivotArea field="0" type="button" dataOnly="0" labelOnly="1" outline="0" axis="axisRow" fieldPosition="0"/>
    </format>
    <format dxfId="285">
      <pivotArea dataOnly="0" labelOnly="1" fieldPosition="0">
        <references count="1">
          <reference field="0" count="0"/>
        </references>
      </pivotArea>
    </format>
    <format dxfId="284">
      <pivotArea dataOnly="0" labelOnly="1" grandRow="1" outline="0" fieldPosition="0"/>
    </format>
    <format dxfId="283">
      <pivotArea dataOnly="0" labelOnly="1" outline="0" axis="axisValues" fieldPosition="0"/>
    </format>
    <format dxfId="282">
      <pivotArea type="all" dataOnly="0" outline="0" fieldPosition="0"/>
    </format>
    <format dxfId="281">
      <pivotArea outline="0" collapsedLevelsAreSubtotals="1" fieldPosition="0"/>
    </format>
    <format dxfId="280">
      <pivotArea field="0" type="button" dataOnly="0" labelOnly="1" outline="0" axis="axisRow" fieldPosition="0"/>
    </format>
    <format dxfId="279">
      <pivotArea dataOnly="0" labelOnly="1" fieldPosition="0">
        <references count="1">
          <reference field="0" count="0"/>
        </references>
      </pivotArea>
    </format>
    <format dxfId="278">
      <pivotArea dataOnly="0" labelOnly="1" grandRow="1" outline="0" fieldPosition="0"/>
    </format>
    <format dxfId="277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ED1FA-E6CC-494A-8E31-82D5F9CA1020}" name="G0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TRANSPORTADORA">
  <location ref="G46:H54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h="1" x="5"/>
        <item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axis="axisRow" showAll="0" sortType="descending">
      <items count="9">
        <item x="1"/>
        <item x="6"/>
        <item x="2"/>
        <item x="0"/>
        <item x="5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8">
    <i>
      <x v="4"/>
    </i>
    <i>
      <x/>
    </i>
    <i>
      <x v="2"/>
    </i>
    <i>
      <x v="1"/>
    </i>
    <i>
      <x v="6"/>
    </i>
    <i>
      <x v="3"/>
    </i>
    <i>
      <x v="5"/>
    </i>
    <i t="grand">
      <x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0">
    <format dxfId="316">
      <pivotArea outline="0" collapsedLevelsAreSubtotals="1" fieldPosition="0"/>
    </format>
    <format dxfId="315">
      <pivotArea dataOnly="0" labelOnly="1" outline="0" axis="axisValues" fieldPosition="0"/>
    </format>
    <format dxfId="314">
      <pivotArea type="all" dataOnly="0" outline="0" fieldPosition="0"/>
    </format>
    <format dxfId="313">
      <pivotArea outline="0" collapsedLevelsAreSubtotals="1" fieldPosition="0"/>
    </format>
    <format dxfId="312">
      <pivotArea field="1" type="button" dataOnly="0" labelOnly="1" outline="0" axis="axisRow" fieldPosition="0"/>
    </format>
    <format dxfId="311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310">
      <pivotArea dataOnly="0" labelOnly="1" grandRow="1" outline="0" fieldPosition="0"/>
    </format>
    <format dxfId="309">
      <pivotArea dataOnly="0" labelOnly="1" outline="0" axis="axisValues" fieldPosition="0"/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field="1" type="button" dataOnly="0" labelOnly="1" outline="0" axis="axisRow" fieldPosition="0"/>
    </format>
    <format dxfId="305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304">
      <pivotArea dataOnly="0" labelOnly="1" grandRow="1" outline="0" fieldPosition="0"/>
    </format>
    <format dxfId="303">
      <pivotArea dataOnly="0" labelOnly="1" outline="0" axis="axisValues" fieldPosition="0"/>
    </format>
    <format dxfId="302">
      <pivotArea type="all" dataOnly="0" outline="0" fieldPosition="0"/>
    </format>
    <format dxfId="301">
      <pivotArea outline="0" collapsedLevelsAreSubtotals="1" fieldPosition="0"/>
    </format>
    <format dxfId="300">
      <pivotArea field="1" type="button" dataOnly="0" labelOnly="1" outline="0" axis="axisRow" fieldPosition="0"/>
    </format>
    <format dxfId="299">
      <pivotArea dataOnly="0" labelOnly="1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298">
      <pivotArea dataOnly="0" labelOnly="1" grandRow="1" outline="0" fieldPosition="0"/>
    </format>
    <format dxfId="297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63DEC-1AC7-45E2-B31A-831ACE4A731C}" name="G0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MUNCK">
  <location ref="A46:B51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h="1" x="5"/>
        <item h="1" x="0"/>
        <item h="1" m="1" x="17"/>
        <item h="1" m="1" x="16"/>
        <item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axis="axisRow" showAll="0" sortType="descending">
      <items count="9">
        <item x="1"/>
        <item x="6"/>
        <item x="2"/>
        <item x="0"/>
        <item x="5"/>
        <item x="4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3"/>
    </i>
    <i>
      <x v="4"/>
    </i>
    <i>
      <x v="2"/>
    </i>
    <i t="grand">
      <x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0">
    <format dxfId="336">
      <pivotArea outline="0" collapsedLevelsAreSubtotals="1" fieldPosition="0"/>
    </format>
    <format dxfId="335">
      <pivotArea dataOnly="0" labelOnly="1" outline="0" axis="axisValues" fieldPosition="0"/>
    </format>
    <format dxfId="334">
      <pivotArea type="all" dataOnly="0" outline="0" fieldPosition="0"/>
    </format>
    <format dxfId="333">
      <pivotArea outline="0" collapsedLevelsAreSubtotals="1" fieldPosition="0"/>
    </format>
    <format dxfId="332">
      <pivotArea field="1" type="button" dataOnly="0" labelOnly="1" outline="0" axis="axisRow" fieldPosition="0"/>
    </format>
    <format dxfId="331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330">
      <pivotArea dataOnly="0" labelOnly="1" grandRow="1" outline="0" fieldPosition="0"/>
    </format>
    <format dxfId="329">
      <pivotArea dataOnly="0" labelOnly="1" outline="0" axis="axisValues" fieldPosition="0"/>
    </format>
    <format dxfId="328">
      <pivotArea type="all" dataOnly="0" outline="0" fieldPosition="0"/>
    </format>
    <format dxfId="327">
      <pivotArea outline="0" collapsedLevelsAreSubtotals="1" fieldPosition="0"/>
    </format>
    <format dxfId="326">
      <pivotArea field="1" type="button" dataOnly="0" labelOnly="1" outline="0" axis="axisRow" fieldPosition="0"/>
    </format>
    <format dxfId="325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324">
      <pivotArea dataOnly="0" labelOnly="1" grandRow="1" outline="0" fieldPosition="0"/>
    </format>
    <format dxfId="323">
      <pivotArea dataOnly="0" labelOnly="1" outline="0" axis="axisValues" fieldPosition="0"/>
    </format>
    <format dxfId="322">
      <pivotArea type="all" dataOnly="0" outline="0" fieldPosition="0"/>
    </format>
    <format dxfId="321">
      <pivotArea outline="0" collapsedLevelsAreSubtotals="1" fieldPosition="0"/>
    </format>
    <format dxfId="320">
      <pivotArea field="1" type="button" dataOnly="0" labelOnly="1" outline="0" axis="axisRow" fieldPosition="0"/>
    </format>
    <format dxfId="319">
      <pivotArea dataOnly="0" labelOnly="1" fieldPosition="0">
        <references count="1">
          <reference field="1" count="4">
            <x v="0"/>
            <x v="2"/>
            <x v="3"/>
            <x v="4"/>
          </reference>
        </references>
      </pivotArea>
    </format>
    <format dxfId="318">
      <pivotArea dataOnly="0" labelOnly="1" grandRow="1" outline="0" fieldPosition="0"/>
    </format>
    <format dxfId="317">
      <pivotArea dataOnly="0" labelOnly="1" outline="0" axis="axisValues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35E10-EB60-4AE1-9088-E92FA38CFF2E}" name="G0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TRANSPORTADORA">
  <location ref="D61:E66" firstHeaderRow="1" firstDataRow="1" firstDataCol="1" rowPageCount="2" colPageCount="1"/>
  <pivotFields count="7">
    <pivotField axis="axisPage" multipleItemSelectionAllowed="1" showAll="0">
      <items count="20">
        <item h="1" x="11"/>
        <item h="1" x="3"/>
        <item h="1" x="14"/>
        <item h="1" x="4"/>
        <item h="1" x="13"/>
        <item h="1" x="1"/>
        <item h="1" m="1" x="18"/>
        <item h="1" x="5"/>
        <item x="0"/>
        <item h="1" m="1" x="17"/>
        <item h="1" m="1" x="16"/>
        <item h="1" x="2"/>
        <item h="1" x="15"/>
        <item h="1" x="6"/>
        <item h="1" x="7"/>
        <item h="1" x="8"/>
        <item h="1" x="9"/>
        <item h="1" x="10"/>
        <item h="1" x="1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axis="axisRow" showAll="0" sortType="descending">
      <items count="32">
        <item x="22"/>
        <item x="15"/>
        <item x="4"/>
        <item x="17"/>
        <item x="5"/>
        <item x="18"/>
        <item x="11"/>
        <item x="10"/>
        <item x="6"/>
        <item x="1"/>
        <item x="23"/>
        <item x="26"/>
        <item x="8"/>
        <item x="13"/>
        <item x="19"/>
        <item x="28"/>
        <item x="9"/>
        <item x="3"/>
        <item x="27"/>
        <item x="21"/>
        <item x="29"/>
        <item x="20"/>
        <item x="12"/>
        <item x="16"/>
        <item x="7"/>
        <item x="24"/>
        <item x="2"/>
        <item x="0"/>
        <item x="14"/>
        <item x="25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5"/>
  </rowFields>
  <rowItems count="5">
    <i>
      <x v="3"/>
    </i>
    <i>
      <x v="8"/>
    </i>
    <i>
      <x v="22"/>
    </i>
    <i>
      <x v="27"/>
    </i>
    <i t="grand">
      <x/>
    </i>
  </rowItems>
  <colItems count="1">
    <i/>
  </colItems>
  <pageFields count="2">
    <pageField fld="2" hier="-1"/>
    <pageField fld="0" hier="-1"/>
  </pageFields>
  <dataFields count="1">
    <dataField name="R$" fld="6" baseField="0" baseItem="0" numFmtId="164"/>
  </dataFields>
  <formats count="20">
    <format dxfId="356">
      <pivotArea outline="0" collapsedLevelsAreSubtotals="1" fieldPosition="0"/>
    </format>
    <format dxfId="355">
      <pivotArea dataOnly="0" labelOnly="1" outline="0" axis="axisValues" fieldPosition="0"/>
    </format>
    <format dxfId="354">
      <pivotArea type="all" dataOnly="0" outline="0" fieldPosition="0"/>
    </format>
    <format dxfId="353">
      <pivotArea outline="0" collapsedLevelsAreSubtotals="1" fieldPosition="0"/>
    </format>
    <format dxfId="352">
      <pivotArea field="5" type="button" dataOnly="0" labelOnly="1" outline="0" axis="axisRow" fieldPosition="0"/>
    </format>
    <format dxfId="351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350">
      <pivotArea dataOnly="0" labelOnly="1" grandRow="1" outline="0" fieldPosition="0"/>
    </format>
    <format dxfId="349">
      <pivotArea dataOnly="0" labelOnly="1" outline="0" axis="axisValues" fieldPosition="0"/>
    </format>
    <format dxfId="348">
      <pivotArea type="all" dataOnly="0" outline="0" fieldPosition="0"/>
    </format>
    <format dxfId="347">
      <pivotArea outline="0" collapsedLevelsAreSubtotals="1" fieldPosition="0"/>
    </format>
    <format dxfId="346">
      <pivotArea field="5" type="button" dataOnly="0" labelOnly="1" outline="0" axis="axisRow" fieldPosition="0"/>
    </format>
    <format dxfId="345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344">
      <pivotArea dataOnly="0" labelOnly="1" grandRow="1" outline="0" fieldPosition="0"/>
    </format>
    <format dxfId="343">
      <pivotArea dataOnly="0" labelOnly="1" outline="0" axis="axisValues" fieldPosition="0"/>
    </format>
    <format dxfId="342">
      <pivotArea type="all" dataOnly="0" outline="0" fieldPosition="0"/>
    </format>
    <format dxfId="341">
      <pivotArea outline="0" collapsedLevelsAreSubtotals="1" fieldPosition="0"/>
    </format>
    <format dxfId="340">
      <pivotArea field="5" type="button" dataOnly="0" labelOnly="1" outline="0" axis="axisRow" fieldPosition="0"/>
    </format>
    <format dxfId="339">
      <pivotArea dataOnly="0" labelOnly="1" fieldPosition="0">
        <references count="1">
          <reference field="5" count="4">
            <x v="3"/>
            <x v="8"/>
            <x v="22"/>
            <x v="27"/>
          </reference>
        </references>
      </pivotArea>
    </format>
    <format dxfId="338">
      <pivotArea dataOnly="0" labelOnly="1" grandRow="1" outline="0" fieldPosition="0"/>
    </format>
    <format dxfId="337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B5C1B-EB0D-4195-886D-C6E9EA4FE0C6}" name="baseG01" cacheId="0" dataOnRows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olHeaderCaption=".">
  <location ref="A5:G10" firstHeaderRow="1" firstDataRow="2" firstDataCol="1" rowPageCount="1" colPageCount="1"/>
  <pivotFields count="19"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 defaultSubtotal="0">
      <items count="7">
        <item x="5"/>
        <item x="2"/>
        <item x="4"/>
        <item x="1"/>
        <item x="3"/>
        <item x="0"/>
        <item h="1" x="6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8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7" hier="-1"/>
  </pageFields>
  <dataFields count="4">
    <dataField name="Media Proprio" fld="4" subtotal="average" baseField="18" baseItem="0"/>
    <dataField name="Media Terceiro" fld="5" subtotal="average" baseField="18" baseItem="0"/>
    <dataField name="Qtd Proprio" fld="4" subtotal="count" baseField="18" baseItem="0"/>
    <dataField name="Qtd Terceiro" fld="5" subtotal="count" baseField="18" baseItem="0"/>
  </dataFields>
  <formats count="50">
    <format dxfId="406">
      <pivotArea type="all" dataOnly="0" outline="0" fieldPosition="0"/>
    </format>
    <format dxfId="405">
      <pivotArea outline="0" collapsedLevelsAreSubtotals="1" fieldPosition="0"/>
    </format>
    <format dxfId="404">
      <pivotArea type="origin" dataOnly="0" labelOnly="1" outline="0" fieldPosition="0"/>
    </format>
    <format dxfId="403">
      <pivotArea field="18" type="button" dataOnly="0" labelOnly="1" outline="0" axis="axisCol" fieldPosition="0"/>
    </format>
    <format dxfId="402">
      <pivotArea type="topRight" dataOnly="0" labelOnly="1" outline="0" fieldPosition="0"/>
    </format>
    <format dxfId="401">
      <pivotArea field="-2" type="button" dataOnly="0" labelOnly="1" outline="0" axis="axisRow" fieldPosition="0"/>
    </format>
    <format dxfId="4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9">
      <pivotArea dataOnly="0" labelOnly="1" fieldPosition="0">
        <references count="1">
          <reference field="18" count="0"/>
        </references>
      </pivotArea>
    </format>
    <format dxfId="398">
      <pivotArea dataOnly="0" labelOnly="1" grandCol="1" outline="0" fieldPosition="0"/>
    </format>
    <format dxfId="397">
      <pivotArea type="all" dataOnly="0" outline="0" fieldPosition="0"/>
    </format>
    <format dxfId="396">
      <pivotArea outline="0" collapsedLevelsAreSubtotals="1" fieldPosition="0"/>
    </format>
    <format dxfId="395">
      <pivotArea type="origin" dataOnly="0" labelOnly="1" outline="0" fieldPosition="0"/>
    </format>
    <format dxfId="394">
      <pivotArea field="18" type="button" dataOnly="0" labelOnly="1" outline="0" axis="axisCol" fieldPosition="0"/>
    </format>
    <format dxfId="393">
      <pivotArea type="topRight" dataOnly="0" labelOnly="1" outline="0" fieldPosition="0"/>
    </format>
    <format dxfId="392">
      <pivotArea field="-2" type="button" dataOnly="0" labelOnly="1" outline="0" axis="axisRow" fieldPosition="0"/>
    </format>
    <format dxfId="3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0">
      <pivotArea dataOnly="0" labelOnly="1" fieldPosition="0">
        <references count="1">
          <reference field="18" count="0"/>
        </references>
      </pivotArea>
    </format>
    <format dxfId="389">
      <pivotArea dataOnly="0" labelOnly="1" grandCol="1" outline="0" fieldPosition="0"/>
    </format>
    <format dxfId="388">
      <pivotArea outline="0" collapsedLevelsAreSubtotals="1" fieldPosition="0"/>
    </format>
    <format dxfId="387">
      <pivotArea grandCol="1" outline="0" collapsedLevelsAreSubtotals="1" fieldPosition="0"/>
    </format>
    <format dxfId="386">
      <pivotArea dataOnly="0" labelOnly="1" grandCol="1" outline="0" fieldPosition="0"/>
    </format>
    <format dxfId="385">
      <pivotArea grandCol="1" outline="0" collapsedLevelsAreSubtotals="1" fieldPosition="0"/>
    </format>
    <format dxfId="384">
      <pivotArea collapsedLevelsAreSubtotals="1" fieldPosition="0">
        <references count="2">
          <reference field="4294967294" count="2">
            <x v="2"/>
            <x v="3"/>
          </reference>
          <reference field="18" count="5" selected="0">
            <x v="1"/>
            <x v="2"/>
            <x v="3"/>
            <x v="4"/>
            <x v="5"/>
          </reference>
        </references>
      </pivotArea>
    </format>
    <format dxfId="383">
      <pivotArea collapsedLevelsAreSubtotals="1" fieldPosition="0">
        <references count="2">
          <reference field="4294967294" count="2">
            <x v="2"/>
            <x v="3"/>
          </reference>
          <reference field="18" count="5" selected="0">
            <x v="1"/>
            <x v="2"/>
            <x v="3"/>
            <x v="4"/>
            <x v="5"/>
          </reference>
        </references>
      </pivotArea>
    </format>
    <format dxfId="382">
      <pivotArea collapsedLevelsAreSubtotals="1" fieldPosition="0">
        <references count="2">
          <reference field="4294967294" count="1">
            <x v="3"/>
          </reference>
          <reference field="18" count="1" selected="0">
            <x v="0"/>
          </reference>
        </references>
      </pivotArea>
    </format>
    <format dxfId="381">
      <pivotArea outline="0" collapsedLevelsAreSubtotals="1" fieldPosition="0"/>
    </format>
    <format dxfId="380">
      <pivotArea type="all" dataOnly="0" outline="0" fieldPosition="0"/>
    </format>
    <format dxfId="379">
      <pivotArea outline="0" collapsedLevelsAreSubtotals="1" fieldPosition="0"/>
    </format>
    <format dxfId="378">
      <pivotArea type="origin" dataOnly="0" labelOnly="1" outline="0" fieldPosition="0"/>
    </format>
    <format dxfId="377">
      <pivotArea field="18" type="button" dataOnly="0" labelOnly="1" outline="0" axis="axisCol" fieldPosition="0"/>
    </format>
    <format dxfId="376">
      <pivotArea type="topRight" dataOnly="0" labelOnly="1" outline="0" fieldPosition="0"/>
    </format>
    <format dxfId="375">
      <pivotArea field="-2" type="button" dataOnly="0" labelOnly="1" outline="0" axis="axisRow" fieldPosition="0"/>
    </format>
    <format dxfId="37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73">
      <pivotArea dataOnly="0" labelOnly="1" fieldPosition="0">
        <references count="1">
          <reference field="18" count="0"/>
        </references>
      </pivotArea>
    </format>
    <format dxfId="372">
      <pivotArea type="all" dataOnly="0" outline="0" fieldPosition="0"/>
    </format>
    <format dxfId="371">
      <pivotArea outline="0" collapsedLevelsAreSubtotals="1" fieldPosition="0"/>
    </format>
    <format dxfId="370">
      <pivotArea type="origin" dataOnly="0" labelOnly="1" outline="0" fieldPosition="0"/>
    </format>
    <format dxfId="369">
      <pivotArea field="18" type="button" dataOnly="0" labelOnly="1" outline="0" axis="axisCol" fieldPosition="0"/>
    </format>
    <format dxfId="368">
      <pivotArea type="topRight" dataOnly="0" labelOnly="1" outline="0" fieldPosition="0"/>
    </format>
    <format dxfId="367">
      <pivotArea field="-2" type="button" dataOnly="0" labelOnly="1" outline="0" axis="axisRow" fieldPosition="0"/>
    </format>
    <format dxfId="3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65">
      <pivotArea dataOnly="0" labelOnly="1" fieldPosition="0">
        <references count="1">
          <reference field="18" count="0"/>
        </references>
      </pivotArea>
    </format>
    <format dxfId="364">
      <pivotArea type="all" dataOnly="0" outline="0" fieldPosition="0"/>
    </format>
    <format dxfId="363">
      <pivotArea outline="0" collapsedLevelsAreSubtotals="1" fieldPosition="0"/>
    </format>
    <format dxfId="362">
      <pivotArea type="origin" dataOnly="0" labelOnly="1" outline="0" fieldPosition="0"/>
    </format>
    <format dxfId="361">
      <pivotArea field="18" type="button" dataOnly="0" labelOnly="1" outline="0" axis="axisCol" fieldPosition="0"/>
    </format>
    <format dxfId="360">
      <pivotArea type="topRight" dataOnly="0" labelOnly="1" outline="0" fieldPosition="0"/>
    </format>
    <format dxfId="359">
      <pivotArea field="-2" type="button" dataOnly="0" labelOnly="1" outline="0" axis="axisRow" fieldPosition="0"/>
    </format>
    <format dxfId="35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57">
      <pivotArea dataOnly="0" labelOnly="1" fieldPosition="0">
        <references count="1">
          <reference field="18" count="0"/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9AA00-6B47-428C-99AA-A21E8E04C64E}" name="G10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 rowHeaderCaption="Responsável" colHeaderCaption=".">
  <location ref="A85:D87" firstHeaderRow="0" firstDataRow="1" firstDataCol="1" rowPageCount="1" colPageCount="1"/>
  <pivotFields count="19">
    <pivotField showAll="0" defaultSubtotal="0"/>
    <pivotField axis="axisRow" showAll="0" sortType="descending" defaultSubtotal="0">
      <items count="12">
        <item h="1" x="10"/>
        <item x="5"/>
        <item x="3"/>
        <item h="1" x="6"/>
        <item h="1" x="9"/>
        <item h="1" x="0"/>
        <item h="1" x="7"/>
        <item h="1" x="1"/>
        <item h="1" x="4"/>
        <item h="1" x="2"/>
        <item h="1" x="8"/>
        <item h="1"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axis="axisPage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>
      <items count="7">
        <item x="5"/>
        <item x="2"/>
        <item x="4"/>
        <item x="1"/>
        <item x="3"/>
        <item x="0"/>
        <item h="1" x="6"/>
      </items>
    </pivotField>
  </pivotFields>
  <rowFields count="1">
    <field x="1"/>
  </rowFields>
  <rowItems count="2">
    <i>
      <x v="2"/>
    </i>
    <i>
      <x v="1"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VALOR" fld="4" baseField="0" baseItem="0"/>
    <dataField name="QTD" fld="18" subtotal="count" baseField="0" baseItem="0"/>
    <dataField name="KMs" fld="3" baseField="0" baseItem="0" numFmtId="1"/>
  </dataFields>
  <formats count="42">
    <format dxfId="448">
      <pivotArea type="all" dataOnly="0" outline="0" fieldPosition="0"/>
    </format>
    <format dxfId="447">
      <pivotArea outline="0" collapsedLevelsAreSubtotals="1" fieldPosition="0"/>
    </format>
    <format dxfId="446">
      <pivotArea type="origin" dataOnly="0" labelOnly="1" outline="0" fieldPosition="0"/>
    </format>
    <format dxfId="445">
      <pivotArea field="18" type="button" dataOnly="0" labelOnly="1" outline="0"/>
    </format>
    <format dxfId="444">
      <pivotArea type="topRight" dataOnly="0" labelOnly="1" outline="0" fieldPosition="0"/>
    </format>
    <format dxfId="443">
      <pivotArea field="-2" type="button" dataOnly="0" labelOnly="1" outline="0" axis="axisCol" fieldPosition="0"/>
    </format>
    <format dxfId="442">
      <pivotArea dataOnly="0" labelOnly="1" grandCol="1" outline="0" fieldPosition="0"/>
    </format>
    <format dxfId="441">
      <pivotArea type="all" dataOnly="0" outline="0" fieldPosition="0"/>
    </format>
    <format dxfId="440">
      <pivotArea outline="0" collapsedLevelsAreSubtotals="1" fieldPosition="0"/>
    </format>
    <format dxfId="439">
      <pivotArea type="origin" dataOnly="0" labelOnly="1" outline="0" fieldPosition="0"/>
    </format>
    <format dxfId="438">
      <pivotArea field="18" type="button" dataOnly="0" labelOnly="1" outline="0"/>
    </format>
    <format dxfId="437">
      <pivotArea type="topRight" dataOnly="0" labelOnly="1" outline="0" fieldPosition="0"/>
    </format>
    <format dxfId="436">
      <pivotArea field="-2" type="button" dataOnly="0" labelOnly="1" outline="0" axis="axisCol" fieldPosition="0"/>
    </format>
    <format dxfId="435">
      <pivotArea dataOnly="0" labelOnly="1" grandCol="1" outline="0" fieldPosition="0"/>
    </format>
    <format dxfId="434">
      <pivotArea outline="0" collapsedLevelsAreSubtotals="1" fieldPosition="0"/>
    </format>
    <format dxfId="433">
      <pivotArea grandCol="1" outline="0" collapsedLevelsAreSubtotals="1" fieldPosition="0"/>
    </format>
    <format dxfId="432">
      <pivotArea dataOnly="0" labelOnly="1" grandCol="1" outline="0" fieldPosition="0"/>
    </format>
    <format dxfId="431">
      <pivotArea grandCol="1" outline="0" collapsedLevelsAreSubtotals="1" fieldPosition="0"/>
    </format>
    <format dxfId="430">
      <pivotArea collapsedLevelsAreSubtotals="1" fieldPosition="0">
        <references count="1">
          <reference field="4294967294" count="1">
            <x v="1"/>
          </reference>
        </references>
      </pivotArea>
    </format>
    <format dxfId="4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28">
      <pivotArea type="all" dataOnly="0" outline="0" fieldPosition="0"/>
    </format>
    <format dxfId="427">
      <pivotArea outline="0" collapsedLevelsAreSubtotals="1" fieldPosition="0"/>
    </format>
    <format dxfId="426">
      <pivotArea field="1" type="button" dataOnly="0" labelOnly="1" outline="0" axis="axisRow" fieldPosition="0"/>
    </format>
    <format dxfId="425">
      <pivotArea dataOnly="0" labelOnly="1" fieldPosition="0">
        <references count="1">
          <reference field="1" count="8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24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23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422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421">
      <pivotArea type="all" dataOnly="0" outline="0" fieldPosition="0"/>
    </format>
    <format dxfId="420">
      <pivotArea outline="0" collapsedLevelsAreSubtotals="1" fieldPosition="0"/>
    </format>
    <format dxfId="419">
      <pivotArea field="1" type="button" dataOnly="0" labelOnly="1" outline="0" axis="axisRow" fieldPosition="0"/>
    </format>
    <format dxfId="418">
      <pivotArea dataOnly="0" labelOnly="1" fieldPosition="0">
        <references count="1">
          <reference field="1" count="0"/>
        </references>
      </pivotArea>
    </format>
    <format dxfId="4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6">
      <pivotArea type="all" dataOnly="0" outline="0" fieldPosition="0"/>
    </format>
    <format dxfId="415">
      <pivotArea outline="0" collapsedLevelsAreSubtotals="1" fieldPosition="0"/>
    </format>
    <format dxfId="414">
      <pivotArea field="1" type="button" dataOnly="0" labelOnly="1" outline="0" axis="axisRow" fieldPosition="0"/>
    </format>
    <format dxfId="413">
      <pivotArea dataOnly="0" labelOnly="1" fieldPosition="0">
        <references count="1">
          <reference field="1" count="0"/>
        </references>
      </pivotArea>
    </format>
    <format dxfId="4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field="1" type="button" dataOnly="0" labelOnly="1" outline="0" axis="axisRow" fieldPosition="0"/>
    </format>
    <format dxfId="408">
      <pivotArea dataOnly="0" labelOnly="1" fieldPosition="0">
        <references count="1">
          <reference field="1" count="0"/>
        </references>
      </pivotArea>
    </format>
    <format dxfId="4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8731EE-6508-430A-AF16-B3E6D6D28CFA}" name="TabelaG12" displayName="TabelaG12" ref="A90:B92" totalsRowShown="0">
  <tableColumns count="2">
    <tableColumn id="1" xr3:uid="{BD78F582-6259-4320-999F-FA0D3BB5DA43}" name="Coluna1" dataDxfId="128"/>
    <tableColumn id="2" xr3:uid="{0F843988-D922-4A1C-8A0C-BDC600E22BCE}" name="APROVEITAMENTO" dataDxfId="127">
      <calculatedColumnFormula>IFERROR((G86*24)/(C86*8),0)</calculatedColumnFormula>
    </tableColumn>
  </tableColumns>
  <tableStyleInfo name="JD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31DF56-C588-44ED-BC96-B9FEF7FD93D0}" name="TabelaG01" displayName="TabelaG01" ref="A11:G13" totalsRowShown="0" headerRowDxfId="126" dataDxfId="125">
  <tableColumns count="7">
    <tableColumn id="1" xr3:uid="{BB091029-AC6F-47E9-B22A-A5E42AE7957C}" name="G01" dataDxfId="124"/>
    <tableColumn id="2" xr3:uid="{A4BBAC98-3DFA-4B44-A572-88CFB1CEBD98}" name="CARRETA" dataDxfId="123">
      <calculatedColumnFormula>IFERROR((B6*B8 + B7*B9) / (B8 + B9), "")</calculatedColumnFormula>
    </tableColumn>
    <tableColumn id="3" xr3:uid="{463AB992-04D5-46C0-8E2C-C0B3E1D552C7}" name="COLHEITADEIRA" dataDxfId="122">
      <calculatedColumnFormula>IFERROR((C6*C8 + C7*C9) / (C8 + C9), "")</calculatedColumnFormula>
    </tableColumn>
    <tableColumn id="4" xr3:uid="{B6FE87AD-4DA9-42C8-8542-A3358FEEB5EE}" name="PLANTADEIRA" dataDxfId="121">
      <calculatedColumnFormula>IFERROR((D6*D8 + D7*D9) / (D8 + D9), "")</calculatedColumnFormula>
    </tableColumn>
    <tableColumn id="5" xr3:uid="{54420D56-3B57-4966-92F0-D73B54935B61}" name="PLATAFORMA" dataDxfId="120">
      <calculatedColumnFormula>IFERROR((E6*E8 + E7*E9) / (E8 + E9), "")</calculatedColumnFormula>
    </tableColumn>
    <tableColumn id="6" xr3:uid="{07ECA341-AD55-4A0D-B841-1E7D13B12660}" name="PULVERIZADOR" dataDxfId="119">
      <calculatedColumnFormula>IFERROR((F6*F8 + F7*F9) / (F8 + F9), "")</calculatedColumnFormula>
    </tableColumn>
    <tableColumn id="7" xr3:uid="{A939C127-9088-40E7-9BC0-0284904C556D}" name="TRATOR" dataDxfId="118">
      <calculatedColumnFormula>IFERROR((G6*G8 + G7*G9) / (G8 + G9), "")</calculatedColumnFormula>
    </tableColumn>
  </tableColumns>
  <tableStyleInfo name="JD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DFAF5-07E2-4C34-9DA3-6DAA1EB10B39}" name="MÁQUINAS" displayName="MÁQUINAS" ref="A1:S90" totalsRowShown="0" headerRowDxfId="117" dataDxfId="116">
  <autoFilter ref="A1:S90" xr:uid="{721DFAF5-07E2-4C34-9DA3-6DAA1EB10B39}"/>
  <sortState xmlns:xlrd2="http://schemas.microsoft.com/office/spreadsheetml/2017/richdata2" ref="A2:S90">
    <sortCondition ref="H1:H90"/>
  </sortState>
  <tableColumns count="19">
    <tableColumn id="1" xr3:uid="{74088FA4-9F2D-4E29-80DA-4FFA894E77F4}" name="STATUS" dataDxfId="115"/>
    <tableColumn id="2" xr3:uid="{8BF83C7C-9ED1-47DD-BC5F-63DA1560216C}" name="FRETE" dataDxfId="114"/>
    <tableColumn id="3" xr3:uid="{B758A2AA-452E-4F91-A2A6-E8CD9100E3DE}" name="HR" dataDxfId="113">
      <calculatedColumnFormula>IFERROR((D2*1.5)/1440, "?")</calculatedColumnFormula>
    </tableColumn>
    <tableColumn id="4" xr3:uid="{65BC45AA-44C5-4933-ADBD-7603EB922BE5}" name="KM" dataDxfId="112"/>
    <tableColumn id="5" xr3:uid="{276116FF-109D-41D4-97B8-33BDEC97F408}" name="R$ PROP" dataDxfId="111">
      <calculatedColumnFormula>IFERROR((D2*6),"?")</calculatedColumnFormula>
    </tableColumn>
    <tableColumn id="6" xr3:uid="{70534257-D783-4146-96E1-2E685CBB89A4}" name="R$ TERC" dataDxfId="110"/>
    <tableColumn id="7" xr3:uid="{3D60D21C-F567-43A3-8E40-BE7F689ECF34}" name="CHASSI" dataDxfId="109"/>
    <tableColumn id="8" xr3:uid="{52559DB2-54FE-4292-B44C-9CD4CF656213}" name="PREV" dataDxfId="108"/>
    <tableColumn id="9" xr3:uid="{83C52D74-44DB-466D-8572-853956B9E720}" name="REAL" dataDxfId="107"/>
    <tableColumn id="10" xr3:uid="{F096729E-B5E6-4D3D-B03C-234DF10FC38E}" name="CLIENTE/NOTA" dataDxfId="106"/>
    <tableColumn id="11" xr3:uid="{9AD47A28-9E98-4261-BB4E-53A18FCF11A6}" name="SOLICITANTE" dataDxfId="105"/>
    <tableColumn id="12" xr3:uid="{797C4B0D-8EC2-4476-9B1D-9680399D22D2}" name="ESTÁ:" dataDxfId="104"/>
    <tableColumn id="13" xr3:uid="{78010355-1A74-41F4-AEBD-3035D2289546}" name="VAI:" dataDxfId="103"/>
    <tableColumn id="14" xr3:uid="{77527C27-6C98-47E9-848B-1D141B3F645A}" name="TIPO" dataDxfId="102"/>
    <tableColumn id="15" xr3:uid="{7B83F651-80C0-40BF-A436-446D32DB61AE}" name="ESTÁ EM:" dataDxfId="101"/>
    <tableColumn id="16" xr3:uid="{26BED5E2-C25C-4647-855D-C4EE6753E61E}" name="VAI PARA:" dataDxfId="100"/>
    <tableColumn id="17" xr3:uid="{22FC017A-B677-426F-90FC-92BAB89D9B4A}" name="OBS" dataDxfId="99"/>
    <tableColumn id="18" xr3:uid="{5AC9D283-0F34-4EF4-A53A-85F8F57E85F2}" name="FILIAL CUSTOS" dataDxfId="98"/>
    <tableColumn id="19" xr3:uid="{DC4F9CD0-326F-411D-8AC9-ED6CAB7FB1E9}" name="EQUIP" dataDxfId="97"/>
  </tableColumns>
  <tableStyleInfo name="JD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58ED65-99DD-4790-A9ED-259A68223EBB}" name="PEDIDOS" displayName="PEDIDOS" ref="A1:L102" totalsRowShown="0" headerRowDxfId="96" dataDxfId="95">
  <autoFilter ref="A1:L102" xr:uid="{CE58ED65-99DD-4790-A9ED-259A68223EBB}"/>
  <sortState xmlns:xlrd2="http://schemas.microsoft.com/office/spreadsheetml/2017/richdata2" ref="A2:L102">
    <sortCondition ref="C1:C102"/>
  </sortState>
  <tableColumns count="12">
    <tableColumn id="1" xr3:uid="{54382593-1F81-433D-9F93-B76C818187F0}" name="TIPO" dataDxfId="94"/>
    <tableColumn id="2" xr3:uid="{4398062D-7437-47E0-8D47-2FB2DD82042D}" name="FILIAL" dataDxfId="93"/>
    <tableColumn id="3" xr3:uid="{5B021649-4C1E-448A-856D-B68EBD29FE35}" name="DATA" dataDxfId="92"/>
    <tableColumn id="4" xr3:uid="{20475BEE-899B-4456-A60C-6E5E5830D60A}" name="PDDO" dataDxfId="91"/>
    <tableColumn id="5" xr3:uid="{52167736-38DB-447F-ABA5-F7F3030C6685}" name="CÓD" dataDxfId="90">
      <calculatedColumnFormula>_xlfn.XLOOKUP(F2,UTIL!Q:Q,UTIL!N:N,"-")</calculatedColumnFormula>
    </tableColumn>
    <tableColumn id="6" xr3:uid="{EC59F397-0DDF-40D5-9D4F-3232B9F3E3AA}" name="FORNECEDOR" dataDxfId="89"/>
    <tableColumn id="7" xr3:uid="{B62521F7-8D78-4799-9138-F4577472D985}" name="VALOR" dataDxfId="88"/>
    <tableColumn id="8" xr3:uid="{0C453D36-D8CB-40C7-924E-11F2DFA712D7}" name="STATUS PC" dataDxfId="87"/>
    <tableColumn id="9" xr3:uid="{48F02895-65FB-49A4-90AC-03012C204F59}" name="Nº NOTA" dataDxfId="86"/>
    <tableColumn id="10" xr3:uid="{09FC5BAE-1C5A-4726-9E49-5D8CA8695440}" name="LANÇADA" dataDxfId="85"/>
    <tableColumn id="11" xr3:uid="{B1E9C8B8-2111-4A21-9D28-51C2A1C336F9}" name="OBSERVAÇÕES" dataDxfId="84"/>
    <tableColumn id="12" xr3:uid="{B0E66A71-C06E-4E69-B75F-5C2A26766683}" name="SALVAR COMO" dataDxfId="83">
      <calculatedColumnFormula>TEXT($C2,"dd.mm") &amp; " -Ped " &amp; D2 &amp; " -" &amp; F2 &amp; " -R$" &amp; G2 &amp; IF(LEN(TRIM(I2))=0, "", " -NF " &amp; TRIM(I2))</calculatedColumnFormula>
    </tableColumn>
  </tableColumns>
  <tableStyleInfo name="JD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D262C-7768-4BDA-8D29-F168B9CAB568}" name="PEÇAS" displayName="PEÇAS" ref="A1:O2" totalsRowShown="0" headerRowDxfId="82" dataDxfId="81">
  <autoFilter ref="A1:O2" xr:uid="{96ED262C-7768-4BDA-8D29-F168B9CAB568}"/>
  <tableColumns count="15">
    <tableColumn id="1" xr3:uid="{B69EFEFF-F887-4E78-AED9-36BFD47C2163}" name="STATUS" dataDxfId="80"/>
    <tableColumn id="2" xr3:uid="{511D0392-1B92-4D5F-98DD-1C91F6205B11}" name="SOLICITANTE" dataDxfId="79"/>
    <tableColumn id="3" xr3:uid="{B8F596C2-530A-4F4E-B3EA-DA7EFDD27017}" name="DATA DA COLETA" dataDxfId="78"/>
    <tableColumn id="4" xr3:uid="{335FD71F-F30D-4127-A0A4-D426AF2905F5}" name="ENTREGAR ATÉ" dataDxfId="77"/>
    <tableColumn id="5" xr3:uid="{D7065B1F-B165-4C67-A25B-3F3D59C82514}" name="MOTOBOY OU DEDICADO?" dataDxfId="76"/>
    <tableColumn id="6" xr3:uid="{9B4C8DC0-A002-44B4-A11D-9A85D683BD3B}" name="ESCOLHA O MOTOBOY" dataDxfId="75"/>
    <tableColumn id="7" xr3:uid="{9EB62DF8-D35F-4A19-AB06-D3EE65940E69}" name="VALOR DO SERVIÇO" dataDxfId="74"/>
    <tableColumn id="8" xr3:uid="{C3036426-E777-46AB-84E5-08F83C7C9F53}" name="QUEM IRÁ PAGAR?" dataDxfId="73"/>
    <tableColumn id="9" xr3:uid="{0390CDD6-5242-4A5E-9D53-EED122D1E773}" name="DESCRIÇÃO" dataDxfId="72"/>
    <tableColumn id="10" xr3:uid="{FBE8999B-D804-4BFB-A0E7-72089F3212C5}" name="PC PARA LOJA" dataDxfId="71"/>
    <tableColumn id="11" xr3:uid="{16B4FCA8-5A17-4B38-9C2F-3C425FA1D0A3}" name="ENVIAR PC PARA" dataDxfId="70"/>
    <tableColumn id="12" xr3:uid="{B5E3C04A-C416-406E-A41C-9B7D05AF6671}" name="DIMENSÕES" dataDxfId="69"/>
    <tableColumn id="13" xr3:uid="{53E9EDB7-BFDB-4482-B5CF-080269012427}" name="LOC COLETA" dataDxfId="68"/>
    <tableColumn id="14" xr3:uid="{04D10BCA-DA76-463F-8C98-1877641F1A10}" name="LOC ENTREGA" dataDxfId="67"/>
    <tableColumn id="15" xr3:uid="{71FE7848-F2AE-4B15-AC80-5B18D6B94E26}" name="SUGESTÃO TRANSP" dataDxfId="66"/>
  </tableColumns>
  <tableStyleInfo name="JD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TYsDXWU4kqkeGb8D6" TargetMode="External"/><Relationship Id="rId21" Type="http://schemas.openxmlformats.org/officeDocument/2006/relationships/hyperlink" Target="https://maps.app.goo.gl/z97gB1Y9xEQEsjNf6" TargetMode="External"/><Relationship Id="rId34" Type="http://schemas.openxmlformats.org/officeDocument/2006/relationships/hyperlink" Target="https://maps.app.goo.gl/nPrR72QZAjPCStGf7" TargetMode="External"/><Relationship Id="rId42" Type="http://schemas.openxmlformats.org/officeDocument/2006/relationships/hyperlink" Target="https://maps.app.goo.gl/kgJbu1HMjsUxtg7P7" TargetMode="External"/><Relationship Id="rId47" Type="http://schemas.openxmlformats.org/officeDocument/2006/relationships/hyperlink" Target="https://maps.app.goo.gl/1TQNr4KwZ3aiboXJ6" TargetMode="External"/><Relationship Id="rId50" Type="http://schemas.openxmlformats.org/officeDocument/2006/relationships/hyperlink" Target="https://maps.app.goo.gl/pz4jP4cRzqhcm3mP6" TargetMode="External"/><Relationship Id="rId55" Type="http://schemas.openxmlformats.org/officeDocument/2006/relationships/hyperlink" Target="https://maps.app.goo.gl/TYsDXWU4kqkeGb8D6" TargetMode="External"/><Relationship Id="rId63" Type="http://schemas.openxmlformats.org/officeDocument/2006/relationships/hyperlink" Target="https://maps.app.goo.gl/tbQZRQV4a7fp35NM6" TargetMode="External"/><Relationship Id="rId7" Type="http://schemas.openxmlformats.org/officeDocument/2006/relationships/hyperlink" Target="https://maps.app.goo.gl/MTXwpjxVEM4SBPA46" TargetMode="External"/><Relationship Id="rId2" Type="http://schemas.openxmlformats.org/officeDocument/2006/relationships/hyperlink" Target="https://maps.app.goo.gl/xyQpe8BG44WqsG1v9" TargetMode="External"/><Relationship Id="rId16" Type="http://schemas.openxmlformats.org/officeDocument/2006/relationships/hyperlink" Target="https://maps.app.goo.gl/F6zwbnVFirHNNuCLA" TargetMode="External"/><Relationship Id="rId29" Type="http://schemas.openxmlformats.org/officeDocument/2006/relationships/hyperlink" Target="https://maps.app.goo.gl/w2FYcAi8ZYYfJ88Y8" TargetMode="External"/><Relationship Id="rId11" Type="http://schemas.openxmlformats.org/officeDocument/2006/relationships/hyperlink" Target="https://maps.app.goo.gl/Kk5FKYUBPHUbo26P8" TargetMode="External"/><Relationship Id="rId24" Type="http://schemas.openxmlformats.org/officeDocument/2006/relationships/hyperlink" Target="https://maps.app.goo.gl/TYsDXWU4kqkeGb8D6" TargetMode="External"/><Relationship Id="rId32" Type="http://schemas.openxmlformats.org/officeDocument/2006/relationships/hyperlink" Target="https://maps.app.goo.gl/Pdqbe6rfdzAyjWvL8" TargetMode="External"/><Relationship Id="rId37" Type="http://schemas.openxmlformats.org/officeDocument/2006/relationships/hyperlink" Target="https://maps.app.goo.gl/rhzoBgFndL48HhK79" TargetMode="External"/><Relationship Id="rId40" Type="http://schemas.openxmlformats.org/officeDocument/2006/relationships/hyperlink" Target="https://maps.app.goo.gl/tbQZRQV4a7fp35NM6" TargetMode="External"/><Relationship Id="rId45" Type="http://schemas.openxmlformats.org/officeDocument/2006/relationships/hyperlink" Target="https://maps.app.goo.gl/1TQNr4KwZ3aiboXJ6" TargetMode="External"/><Relationship Id="rId53" Type="http://schemas.openxmlformats.org/officeDocument/2006/relationships/hyperlink" Target="https://maps.app.goo.gl/HAQzMitpSPVxhKFi9" TargetMode="External"/><Relationship Id="rId58" Type="http://schemas.openxmlformats.org/officeDocument/2006/relationships/hyperlink" Target="https://maps.app.goo.gl/TYsDXWU4kqkeGb8D6" TargetMode="External"/><Relationship Id="rId66" Type="http://schemas.openxmlformats.org/officeDocument/2006/relationships/table" Target="../tables/table3.xml"/><Relationship Id="rId5" Type="http://schemas.openxmlformats.org/officeDocument/2006/relationships/hyperlink" Target="https://maps.app.goo.gl/u6RQ92AcKr5YZVN5A" TargetMode="External"/><Relationship Id="rId61" Type="http://schemas.openxmlformats.org/officeDocument/2006/relationships/hyperlink" Target="https://maps.app.goo.gl/tbQZRQV4a7fp35NM6" TargetMode="External"/><Relationship Id="rId19" Type="http://schemas.openxmlformats.org/officeDocument/2006/relationships/hyperlink" Target="https://maps.app.goo.gl/w2FYcAi8ZYYfJ88Y8" TargetMode="External"/><Relationship Id="rId14" Type="http://schemas.openxmlformats.org/officeDocument/2006/relationships/hyperlink" Target="https://maps.app.goo.gl/PXTmMqoYPtx48Gex6" TargetMode="External"/><Relationship Id="rId22" Type="http://schemas.openxmlformats.org/officeDocument/2006/relationships/hyperlink" Target="https://maps.app.goo.gl/VQtNqdXpX1Nn1Cwt8" TargetMode="External"/><Relationship Id="rId27" Type="http://schemas.openxmlformats.org/officeDocument/2006/relationships/hyperlink" Target="https://maps.app.goo.gl/TYsDXWU4kqkeGb8D6" TargetMode="External"/><Relationship Id="rId30" Type="http://schemas.openxmlformats.org/officeDocument/2006/relationships/hyperlink" Target="https://maps.app.goo.gl/w2FYcAi8ZYYfJ88Y8" TargetMode="External"/><Relationship Id="rId35" Type="http://schemas.openxmlformats.org/officeDocument/2006/relationships/hyperlink" Target="https://maps.app.goo.gl/nPrR72QZAjPCStGf7" TargetMode="External"/><Relationship Id="rId43" Type="http://schemas.openxmlformats.org/officeDocument/2006/relationships/hyperlink" Target="https://maps.app.goo.gl/kgJbu1HMjsUxtg7P7" TargetMode="External"/><Relationship Id="rId48" Type="http://schemas.openxmlformats.org/officeDocument/2006/relationships/hyperlink" Target="https://maps.app.goo.gl/1TQNr4KwZ3aiboXJ6" TargetMode="External"/><Relationship Id="rId56" Type="http://schemas.openxmlformats.org/officeDocument/2006/relationships/hyperlink" Target="https://maps.app.goo.gl/TYsDXWU4kqkeGb8D6" TargetMode="External"/><Relationship Id="rId64" Type="http://schemas.openxmlformats.org/officeDocument/2006/relationships/hyperlink" Target="https://maps.app.goo.gl/2DJawZBMR4yqycss9" TargetMode="External"/><Relationship Id="rId8" Type="http://schemas.openxmlformats.org/officeDocument/2006/relationships/hyperlink" Target="https://maps.app.goo.gl/rYQLkSMERduCoffL8" TargetMode="External"/><Relationship Id="rId51" Type="http://schemas.openxmlformats.org/officeDocument/2006/relationships/hyperlink" Target="https://maps.app.goo.gl/a7As7SRaDnZSRB6c6" TargetMode="External"/><Relationship Id="rId3" Type="http://schemas.openxmlformats.org/officeDocument/2006/relationships/hyperlink" Target="https://maps.app.goo.gl/Yk2FrxveQ1BNpLmN8" TargetMode="External"/><Relationship Id="rId12" Type="http://schemas.openxmlformats.org/officeDocument/2006/relationships/hyperlink" Target="https://maps.app.goo.gl/kFwUPivsMpYS8pGd8" TargetMode="External"/><Relationship Id="rId17" Type="http://schemas.openxmlformats.org/officeDocument/2006/relationships/hyperlink" Target="https://maps.app.goo.gl/tLcmyZnTmDtxQsvb6" TargetMode="External"/><Relationship Id="rId25" Type="http://schemas.openxmlformats.org/officeDocument/2006/relationships/hyperlink" Target="https://maps.app.goo.gl/TYsDXWU4kqkeGb8D6" TargetMode="External"/><Relationship Id="rId33" Type="http://schemas.openxmlformats.org/officeDocument/2006/relationships/hyperlink" Target="https://maps.app.goo.gl/2DJawZBMR4yqycss9" TargetMode="External"/><Relationship Id="rId38" Type="http://schemas.openxmlformats.org/officeDocument/2006/relationships/hyperlink" Target="https://maps.app.goo.gl/tbQZRQV4a7fp35NM6" TargetMode="External"/><Relationship Id="rId46" Type="http://schemas.openxmlformats.org/officeDocument/2006/relationships/hyperlink" Target="https://maps.app.goo.gl/1TQNr4KwZ3aiboXJ6" TargetMode="External"/><Relationship Id="rId59" Type="http://schemas.openxmlformats.org/officeDocument/2006/relationships/hyperlink" Target="https://maps.app.goo.gl/HAQzMitpSPVxhKFi9" TargetMode="External"/><Relationship Id="rId20" Type="http://schemas.openxmlformats.org/officeDocument/2006/relationships/hyperlink" Target="https://maps.app.goo.gl/CR8ypB1Pd9ZCuWzE6" TargetMode="External"/><Relationship Id="rId41" Type="http://schemas.openxmlformats.org/officeDocument/2006/relationships/hyperlink" Target="https://maps.app.goo.gl/kgJbu1HMjsUxtg7P7" TargetMode="External"/><Relationship Id="rId54" Type="http://schemas.openxmlformats.org/officeDocument/2006/relationships/hyperlink" Target="https://maps.app.goo.gl/HAQzMitpSPVxhKFi9" TargetMode="External"/><Relationship Id="rId62" Type="http://schemas.openxmlformats.org/officeDocument/2006/relationships/hyperlink" Target="https://maps.app.goo.gl/tbQZRQV4a7fp35NM6" TargetMode="External"/><Relationship Id="rId1" Type="http://schemas.openxmlformats.org/officeDocument/2006/relationships/hyperlink" Target="https://maps.app.goo.gl/xyQpe8BG44WqsG1v9" TargetMode="External"/><Relationship Id="rId6" Type="http://schemas.openxmlformats.org/officeDocument/2006/relationships/hyperlink" Target="https://maps.app.goo.gl/B5W3gFAkVjKrxcms8" TargetMode="External"/><Relationship Id="rId15" Type="http://schemas.openxmlformats.org/officeDocument/2006/relationships/hyperlink" Target="https://maps.app.goo.gl/EGGjvMh2LpNr1STk7" TargetMode="External"/><Relationship Id="rId23" Type="http://schemas.openxmlformats.org/officeDocument/2006/relationships/hyperlink" Target="https://maps.app.goo.gl/6skd9a23gozJLC8q6?g_st=aw" TargetMode="External"/><Relationship Id="rId28" Type="http://schemas.openxmlformats.org/officeDocument/2006/relationships/hyperlink" Target="https://maps.app.goo.gl/w2FYcAi8ZYYfJ88Y8" TargetMode="External"/><Relationship Id="rId36" Type="http://schemas.openxmlformats.org/officeDocument/2006/relationships/hyperlink" Target="https://maps.app.goo.gl/rhzoBgFndL48HhK79" TargetMode="External"/><Relationship Id="rId49" Type="http://schemas.openxmlformats.org/officeDocument/2006/relationships/hyperlink" Target="https://maps.app.goo.gl/pz4jP4cRzqhcm3mP6" TargetMode="External"/><Relationship Id="rId57" Type="http://schemas.openxmlformats.org/officeDocument/2006/relationships/hyperlink" Target="https://maps.app.goo.gl/TYsDXWU4kqkeGb8D6" TargetMode="External"/><Relationship Id="rId10" Type="http://schemas.openxmlformats.org/officeDocument/2006/relationships/hyperlink" Target="https://maps.app.goo.gl/3mYP9KzrASogJS3w9" TargetMode="External"/><Relationship Id="rId31" Type="http://schemas.openxmlformats.org/officeDocument/2006/relationships/hyperlink" Target="https://maps.app.goo.gl/Pdqbe6rfdzAyjWvL8" TargetMode="External"/><Relationship Id="rId44" Type="http://schemas.openxmlformats.org/officeDocument/2006/relationships/hyperlink" Target="https://maps.app.goo.gl/kgJbu1HMjsUxtg7P7" TargetMode="External"/><Relationship Id="rId52" Type="http://schemas.openxmlformats.org/officeDocument/2006/relationships/hyperlink" Target="https://maps.app.goo.gl/a7As7SRaDnZSRB6c6" TargetMode="External"/><Relationship Id="rId60" Type="http://schemas.openxmlformats.org/officeDocument/2006/relationships/hyperlink" Target="https://maps.app.goo.gl/HAQzMitpSPVxhKFi9" TargetMode="External"/><Relationship Id="rId65" Type="http://schemas.openxmlformats.org/officeDocument/2006/relationships/hyperlink" Target="https://maps.app.goo.gl/z97gB1Y9xEQEsjNf6" TargetMode="External"/><Relationship Id="rId4" Type="http://schemas.openxmlformats.org/officeDocument/2006/relationships/hyperlink" Target="https://maps.app.goo.gl/fhc785TjS54Vtjgc8" TargetMode="External"/><Relationship Id="rId9" Type="http://schemas.openxmlformats.org/officeDocument/2006/relationships/hyperlink" Target="https://maps.app.goo.gl/MLVchYQrLvQGhWWp6" TargetMode="External"/><Relationship Id="rId13" Type="http://schemas.openxmlformats.org/officeDocument/2006/relationships/hyperlink" Target="https://maps.app.goo.gl/oLpnxFw9huVdueSf7" TargetMode="External"/><Relationship Id="rId18" Type="http://schemas.openxmlformats.org/officeDocument/2006/relationships/hyperlink" Target="https://maps.app.goo.gl/w2FYcAi8ZYYfJ88Y8" TargetMode="External"/><Relationship Id="rId39" Type="http://schemas.openxmlformats.org/officeDocument/2006/relationships/hyperlink" Target="https://maps.app.goo.gl/tbQZRQV4a7fp35NM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1TQNr4KwZ3aiboXJ6" TargetMode="External"/><Relationship Id="rId3" Type="http://schemas.openxmlformats.org/officeDocument/2006/relationships/hyperlink" Target="https://maps.app.goo.gl/rhzoBgFndL48HhK79" TargetMode="External"/><Relationship Id="rId7" Type="http://schemas.openxmlformats.org/officeDocument/2006/relationships/hyperlink" Target="https://maps.app.goo.gl/kgJbu1HMjsUxtg7P7" TargetMode="External"/><Relationship Id="rId12" Type="http://schemas.openxmlformats.org/officeDocument/2006/relationships/hyperlink" Target="https://maps.app.goo.gl/rhzoBgFndL48HhK79" TargetMode="External"/><Relationship Id="rId2" Type="http://schemas.openxmlformats.org/officeDocument/2006/relationships/hyperlink" Target="https://maps.app.goo.gl/Pdqbe6rfdzAyjWvL8" TargetMode="External"/><Relationship Id="rId1" Type="http://schemas.openxmlformats.org/officeDocument/2006/relationships/hyperlink" Target="https://maps.app.goo.gl/TYsDXWU4kqkeGb8D6" TargetMode="External"/><Relationship Id="rId6" Type="http://schemas.openxmlformats.org/officeDocument/2006/relationships/hyperlink" Target="https://maps.app.goo.gl/TYsDXWU4kqkeGb8D6" TargetMode="External"/><Relationship Id="rId11" Type="http://schemas.openxmlformats.org/officeDocument/2006/relationships/hyperlink" Target="https://maps.app.goo.gl/HAQzMitpSPVxhKFi9" TargetMode="External"/><Relationship Id="rId5" Type="http://schemas.openxmlformats.org/officeDocument/2006/relationships/hyperlink" Target="https://maps.app.goo.gl/MUyXxsKoDWLqwoe56" TargetMode="External"/><Relationship Id="rId10" Type="http://schemas.openxmlformats.org/officeDocument/2006/relationships/hyperlink" Target="https://maps.app.goo.gl/tbQZRQV4a7fp35NM6" TargetMode="External"/><Relationship Id="rId4" Type="http://schemas.openxmlformats.org/officeDocument/2006/relationships/hyperlink" Target="https://maps.app.goo.gl/tbQZRQV4a7fp35NM6" TargetMode="External"/><Relationship Id="rId9" Type="http://schemas.openxmlformats.org/officeDocument/2006/relationships/hyperlink" Target="https://maps.app.goo.gl/Pdqbe6rfdzAyjWvL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A0F2-10FD-4566-91EA-EB09624D5057}">
  <sheetPr>
    <tabColor rgb="FF0070C0"/>
  </sheetPr>
  <dimension ref="A1:J200"/>
  <sheetViews>
    <sheetView showGridLines="0" zoomScaleNormal="100" workbookViewId="0">
      <selection activeCell="O19" sqref="O19"/>
    </sheetView>
  </sheetViews>
  <sheetFormatPr defaultColWidth="8.88671875" defaultRowHeight="13.2" customHeight="1" x14ac:dyDescent="0.3"/>
  <cols>
    <col min="1" max="1" width="10.33203125" style="166" bestFit="1" customWidth="1"/>
    <col min="2" max="2" width="9.5546875" style="166" bestFit="1" customWidth="1"/>
    <col min="3" max="3" width="11.33203125" style="166" bestFit="1" customWidth="1"/>
    <col min="4" max="4" width="11.6640625" style="166" bestFit="1" customWidth="1"/>
    <col min="5" max="5" width="13.5546875" style="166" bestFit="1" customWidth="1"/>
    <col min="6" max="6" width="10.6640625" style="166" bestFit="1" customWidth="1"/>
    <col min="7" max="7" width="17.44140625" style="166" bestFit="1" customWidth="1"/>
    <col min="8" max="8" width="13.33203125" style="166" bestFit="1" customWidth="1"/>
    <col min="9" max="9" width="1.6640625" style="166" customWidth="1"/>
    <col min="10" max="10" width="4.6640625" style="177" customWidth="1"/>
    <col min="11" max="12" width="11.33203125" style="166" bestFit="1" customWidth="1"/>
    <col min="13" max="13" width="9.109375" style="166" bestFit="1" customWidth="1"/>
    <col min="14" max="14" width="5" style="166" bestFit="1" customWidth="1"/>
    <col min="15" max="15" width="9" style="166" bestFit="1" customWidth="1"/>
    <col min="16" max="16" width="8.6640625" style="166" bestFit="1" customWidth="1"/>
    <col min="17" max="17" width="15.5546875" style="166" bestFit="1" customWidth="1"/>
    <col min="18" max="16384" width="8.88671875" style="166"/>
  </cols>
  <sheetData>
    <row r="1" spans="1:10" s="176" customFormat="1" ht="13.2" customHeight="1" x14ac:dyDescent="0.3">
      <c r="A1" s="184" t="s">
        <v>0</v>
      </c>
      <c r="B1" s="184"/>
      <c r="C1" s="184"/>
      <c r="D1" s="184"/>
      <c r="E1" s="184"/>
      <c r="F1" s="184"/>
      <c r="G1" s="184"/>
      <c r="H1" s="175"/>
      <c r="I1" s="175"/>
      <c r="J1" s="175"/>
    </row>
    <row r="3" spans="1:10" ht="10.8" x14ac:dyDescent="0.3">
      <c r="A3" s="174" t="s">
        <v>1</v>
      </c>
      <c r="B3" s="166" t="s">
        <v>2</v>
      </c>
      <c r="C3" s="167"/>
    </row>
    <row r="5" spans="1:10" ht="10.8" x14ac:dyDescent="0.3">
      <c r="B5" s="174" t="s">
        <v>3</v>
      </c>
    </row>
    <row r="6" spans="1:10" ht="10.8" x14ac:dyDescent="0.3">
      <c r="A6" s="174" t="s">
        <v>4</v>
      </c>
      <c r="B6" s="166" t="s">
        <v>5</v>
      </c>
      <c r="C6" s="166" t="s">
        <v>6</v>
      </c>
      <c r="D6" s="166" t="s">
        <v>7</v>
      </c>
      <c r="E6" s="166" t="s">
        <v>8</v>
      </c>
      <c r="F6" s="166" t="s">
        <v>9</v>
      </c>
      <c r="G6" s="166" t="s">
        <v>10</v>
      </c>
    </row>
    <row r="7" spans="1:10" ht="10.8" x14ac:dyDescent="0.3">
      <c r="A7" s="166" t="s">
        <v>11</v>
      </c>
      <c r="B7" s="168"/>
      <c r="C7" s="168">
        <v>1077.7777777777778</v>
      </c>
      <c r="D7" s="168">
        <v>1122</v>
      </c>
      <c r="E7" s="168">
        <v>371.42857142857144</v>
      </c>
      <c r="F7" s="168">
        <v>1056</v>
      </c>
      <c r="G7" s="168">
        <v>1098.5</v>
      </c>
    </row>
    <row r="8" spans="1:10" ht="10.8" x14ac:dyDescent="0.3">
      <c r="A8" s="166" t="s">
        <v>12</v>
      </c>
      <c r="B8" s="168">
        <v>300</v>
      </c>
      <c r="C8" s="168">
        <v>1390</v>
      </c>
      <c r="D8" s="168">
        <v>2000</v>
      </c>
      <c r="E8" s="168">
        <v>670</v>
      </c>
      <c r="F8" s="168">
        <v>9600</v>
      </c>
      <c r="G8" s="168">
        <v>1122.8999999999999</v>
      </c>
    </row>
    <row r="9" spans="1:10" ht="10.8" x14ac:dyDescent="0.3">
      <c r="A9" s="166" t="s">
        <v>13</v>
      </c>
      <c r="B9" s="168"/>
      <c r="C9" s="169">
        <v>9</v>
      </c>
      <c r="D9" s="169">
        <v>1</v>
      </c>
      <c r="E9" s="169">
        <v>7</v>
      </c>
      <c r="F9" s="169">
        <v>2</v>
      </c>
      <c r="G9" s="169">
        <v>36</v>
      </c>
    </row>
    <row r="10" spans="1:10" ht="10.8" x14ac:dyDescent="0.3">
      <c r="A10" s="166" t="s">
        <v>14</v>
      </c>
      <c r="B10" s="169">
        <v>2</v>
      </c>
      <c r="C10" s="169">
        <v>5</v>
      </c>
      <c r="D10" s="169">
        <v>1</v>
      </c>
      <c r="E10" s="169">
        <v>5</v>
      </c>
      <c r="F10" s="169">
        <v>1</v>
      </c>
      <c r="G10" s="169">
        <v>17</v>
      </c>
    </row>
    <row r="11" spans="1:10" ht="13.2" customHeight="1" x14ac:dyDescent="0.3">
      <c r="A11" s="183" t="s">
        <v>15</v>
      </c>
      <c r="B11" s="178" t="s">
        <v>5</v>
      </c>
      <c r="C11" s="178" t="s">
        <v>6</v>
      </c>
      <c r="D11" s="178" t="s">
        <v>7</v>
      </c>
      <c r="E11" s="178" t="s">
        <v>8</v>
      </c>
      <c r="F11" s="178" t="s">
        <v>9</v>
      </c>
      <c r="G11" s="178" t="s">
        <v>10</v>
      </c>
    </row>
    <row r="12" spans="1:10" ht="13.2" customHeight="1" x14ac:dyDescent="0.3">
      <c r="A12" s="179" t="s">
        <v>16</v>
      </c>
      <c r="B12" s="180"/>
      <c r="C12" s="180">
        <v>2200</v>
      </c>
      <c r="D12" s="180">
        <v>1850</v>
      </c>
      <c r="E12" s="180">
        <v>800</v>
      </c>
      <c r="F12" s="180">
        <v>2000</v>
      </c>
      <c r="G12" s="180">
        <v>1500</v>
      </c>
    </row>
    <row r="13" spans="1:10" ht="13.2" customHeight="1" x14ac:dyDescent="0.3">
      <c r="A13" s="179" t="s">
        <v>17</v>
      </c>
      <c r="B13" s="180">
        <f>IFERROR((B7*B9 + B8*B10) / (B9 + B10), "")</f>
        <v>300</v>
      </c>
      <c r="C13" s="180">
        <f t="shared" ref="C13:G13" si="0">IFERROR((C7*C9 + C8*C10) / (C9 + C10), "")</f>
        <v>1189.2857142857142</v>
      </c>
      <c r="D13" s="180">
        <f t="shared" si="0"/>
        <v>1561</v>
      </c>
      <c r="E13" s="180">
        <f t="shared" si="0"/>
        <v>495.83333333333331</v>
      </c>
      <c r="F13" s="180">
        <f t="shared" si="0"/>
        <v>3904</v>
      </c>
      <c r="G13" s="180">
        <f t="shared" si="0"/>
        <v>1106.3264150943396</v>
      </c>
    </row>
    <row r="15" spans="1:10" ht="10.8" x14ac:dyDescent="0.3">
      <c r="A15" s="174" t="s">
        <v>1</v>
      </c>
      <c r="B15" s="166" t="s">
        <v>2</v>
      </c>
      <c r="C15" s="167" t="s">
        <v>18</v>
      </c>
    </row>
    <row r="17" spans="1:7" ht="14.4" x14ac:dyDescent="0.3">
      <c r="A17" s="174" t="s">
        <v>19</v>
      </c>
      <c r="B17" s="166" t="s">
        <v>20</v>
      </c>
      <c r="C17" s="166" t="s">
        <v>21</v>
      </c>
      <c r="D17" s="166" t="s">
        <v>22</v>
      </c>
      <c r="E17"/>
      <c r="F17"/>
      <c r="G17"/>
    </row>
    <row r="18" spans="1:7" ht="14.4" x14ac:dyDescent="0.3">
      <c r="A18" s="166" t="s">
        <v>10</v>
      </c>
      <c r="B18" s="168">
        <v>39546</v>
      </c>
      <c r="C18" s="168">
        <v>19089.3</v>
      </c>
      <c r="D18" s="169">
        <v>55</v>
      </c>
      <c r="E18"/>
      <c r="F18"/>
      <c r="G18"/>
    </row>
    <row r="19" spans="1:7" ht="14.4" x14ac:dyDescent="0.3">
      <c r="A19" s="166" t="s">
        <v>9</v>
      </c>
      <c r="B19" s="168">
        <v>2112</v>
      </c>
      <c r="C19" s="168">
        <v>9600</v>
      </c>
      <c r="D19" s="169">
        <v>3</v>
      </c>
      <c r="E19"/>
      <c r="F19"/>
      <c r="G19"/>
    </row>
    <row r="20" spans="1:7" ht="14.4" x14ac:dyDescent="0.3">
      <c r="A20" s="166" t="s">
        <v>6</v>
      </c>
      <c r="B20" s="168">
        <v>9700</v>
      </c>
      <c r="C20" s="168">
        <v>6950</v>
      </c>
      <c r="D20" s="169">
        <v>15</v>
      </c>
      <c r="E20"/>
      <c r="F20"/>
      <c r="G20"/>
    </row>
    <row r="21" spans="1:7" ht="14.4" x14ac:dyDescent="0.3">
      <c r="A21" s="166" t="s">
        <v>8</v>
      </c>
      <c r="B21" s="168">
        <v>2600</v>
      </c>
      <c r="C21" s="168">
        <v>3350</v>
      </c>
      <c r="D21" s="169">
        <v>12</v>
      </c>
      <c r="E21"/>
      <c r="F21"/>
      <c r="G21"/>
    </row>
    <row r="22" spans="1:7" ht="10.8" x14ac:dyDescent="0.3">
      <c r="A22" s="166" t="s">
        <v>7</v>
      </c>
      <c r="B22" s="168">
        <v>1122</v>
      </c>
      <c r="C22" s="168">
        <v>2000</v>
      </c>
      <c r="D22" s="169">
        <v>2</v>
      </c>
      <c r="E22" s="169"/>
      <c r="F22" s="169"/>
      <c r="G22" s="169"/>
    </row>
    <row r="23" spans="1:7" ht="10.8" x14ac:dyDescent="0.3">
      <c r="A23" s="166" t="s">
        <v>5</v>
      </c>
      <c r="B23" s="168"/>
      <c r="C23" s="168">
        <v>600</v>
      </c>
      <c r="D23" s="169">
        <v>2</v>
      </c>
      <c r="E23" s="169"/>
      <c r="F23" s="169"/>
      <c r="G23" s="169"/>
    </row>
    <row r="24" spans="1:7" ht="13.2" customHeight="1" x14ac:dyDescent="0.3">
      <c r="B24" s="169"/>
      <c r="C24" s="169"/>
      <c r="D24" s="169"/>
      <c r="E24" s="169"/>
      <c r="F24" s="169"/>
      <c r="G24" s="169"/>
    </row>
    <row r="25" spans="1:7" ht="13.2" customHeight="1" x14ac:dyDescent="0.3">
      <c r="B25" s="169"/>
      <c r="C25" s="169"/>
      <c r="D25" s="169"/>
      <c r="E25" s="169"/>
      <c r="F25" s="169"/>
      <c r="G25" s="169"/>
    </row>
    <row r="26" spans="1:7" ht="14.4" x14ac:dyDescent="0.3">
      <c r="A26"/>
      <c r="B26"/>
      <c r="C26" s="167" t="s">
        <v>23</v>
      </c>
    </row>
    <row r="28" spans="1:7" ht="14.4" x14ac:dyDescent="0.3">
      <c r="A28" s="174" t="s">
        <v>24</v>
      </c>
      <c r="B28" s="166" t="s">
        <v>25</v>
      </c>
      <c r="C28" s="166" t="s">
        <v>26</v>
      </c>
      <c r="D28"/>
      <c r="E28" s="181"/>
    </row>
    <row r="29" spans="1:7" ht="14.4" x14ac:dyDescent="0.3">
      <c r="A29" s="166" t="s">
        <v>27</v>
      </c>
      <c r="B29" s="168">
        <v>12051.3</v>
      </c>
      <c r="C29" s="169">
        <v>1914</v>
      </c>
      <c r="D29"/>
    </row>
    <row r="30" spans="1:7" ht="14.4" x14ac:dyDescent="0.3">
      <c r="A30" s="166" t="s">
        <v>28</v>
      </c>
      <c r="B30" s="168">
        <v>9600</v>
      </c>
      <c r="C30" s="169">
        <v>733</v>
      </c>
      <c r="D30"/>
    </row>
    <row r="31" spans="1:7" ht="14.4" x14ac:dyDescent="0.3">
      <c r="A31" s="166" t="s">
        <v>29</v>
      </c>
      <c r="B31" s="168">
        <v>7200</v>
      </c>
      <c r="C31" s="169">
        <v>1374</v>
      </c>
      <c r="D31"/>
    </row>
    <row r="32" spans="1:7" ht="14.4" x14ac:dyDescent="0.3">
      <c r="A32" s="166" t="s">
        <v>30</v>
      </c>
      <c r="B32" s="168">
        <v>5400</v>
      </c>
      <c r="C32" s="169">
        <v>956</v>
      </c>
      <c r="D32"/>
    </row>
    <row r="33" spans="1:8" ht="14.4" x14ac:dyDescent="0.3">
      <c r="A33" s="166" t="s">
        <v>31</v>
      </c>
      <c r="B33" s="168">
        <v>2830</v>
      </c>
      <c r="C33" s="169">
        <v>748</v>
      </c>
      <c r="D33"/>
    </row>
    <row r="34" spans="1:8" ht="14.4" x14ac:dyDescent="0.3">
      <c r="A34" s="166" t="s">
        <v>32</v>
      </c>
      <c r="B34" s="168">
        <v>2270</v>
      </c>
      <c r="C34" s="169">
        <v>315</v>
      </c>
      <c r="D34"/>
    </row>
    <row r="35" spans="1:8" ht="14.4" x14ac:dyDescent="0.3">
      <c r="A35" s="166" t="s">
        <v>33</v>
      </c>
      <c r="B35" s="168">
        <v>1328</v>
      </c>
      <c r="C35" s="169">
        <v>166</v>
      </c>
      <c r="D35"/>
    </row>
    <row r="36" spans="1:8" ht="14.4" x14ac:dyDescent="0.3">
      <c r="A36" s="166" t="s">
        <v>34</v>
      </c>
      <c r="B36" s="168">
        <v>910</v>
      </c>
      <c r="C36" s="169">
        <v>70</v>
      </c>
      <c r="D36"/>
    </row>
    <row r="43" spans="1:8" ht="10.8" x14ac:dyDescent="0.3">
      <c r="A43" s="174" t="s">
        <v>35</v>
      </c>
      <c r="B43" s="166" t="s">
        <v>2</v>
      </c>
      <c r="D43" s="174" t="s">
        <v>35</v>
      </c>
      <c r="E43" s="166" t="s">
        <v>2</v>
      </c>
      <c r="G43" s="174" t="s">
        <v>35</v>
      </c>
      <c r="H43" s="166" t="s">
        <v>2</v>
      </c>
    </row>
    <row r="44" spans="1:8" ht="10.8" x14ac:dyDescent="0.3">
      <c r="A44" s="174" t="s">
        <v>36</v>
      </c>
      <c r="B44" s="166" t="s">
        <v>37</v>
      </c>
      <c r="D44" s="174" t="s">
        <v>36</v>
      </c>
      <c r="E44" s="166" t="s">
        <v>38</v>
      </c>
      <c r="G44" s="174" t="s">
        <v>36</v>
      </c>
      <c r="H44" s="166" t="s">
        <v>39</v>
      </c>
    </row>
    <row r="45" spans="1:8" ht="13.2" customHeight="1" x14ac:dyDescent="0.3">
      <c r="B45" s="167" t="s">
        <v>40</v>
      </c>
      <c r="E45" s="167" t="s">
        <v>41</v>
      </c>
      <c r="H45" s="167" t="s">
        <v>42</v>
      </c>
    </row>
    <row r="46" spans="1:8" ht="10.8" x14ac:dyDescent="0.3">
      <c r="A46" s="174" t="s">
        <v>43</v>
      </c>
      <c r="B46" s="168" t="s">
        <v>44</v>
      </c>
      <c r="D46" s="174" t="s">
        <v>45</v>
      </c>
      <c r="E46" s="168" t="s">
        <v>44</v>
      </c>
      <c r="G46" s="174" t="s">
        <v>46</v>
      </c>
      <c r="H46" s="168" t="s">
        <v>44</v>
      </c>
    </row>
    <row r="47" spans="1:8" ht="10.8" x14ac:dyDescent="0.3">
      <c r="A47" s="166" t="s">
        <v>47</v>
      </c>
      <c r="B47" s="168">
        <v>2745</v>
      </c>
      <c r="D47" s="166" t="s">
        <v>48</v>
      </c>
      <c r="E47" s="168">
        <v>9345.619999999999</v>
      </c>
      <c r="G47" s="166" t="s">
        <v>48</v>
      </c>
      <c r="H47" s="168">
        <v>7231.9999999999991</v>
      </c>
    </row>
    <row r="48" spans="1:8" ht="10.8" x14ac:dyDescent="0.3">
      <c r="A48" s="166" t="s">
        <v>49</v>
      </c>
      <c r="B48" s="168">
        <v>1262</v>
      </c>
      <c r="D48" s="166" t="s">
        <v>50</v>
      </c>
      <c r="E48" s="168">
        <v>4770</v>
      </c>
      <c r="G48" s="166" t="s">
        <v>47</v>
      </c>
      <c r="H48" s="168">
        <v>1100</v>
      </c>
    </row>
    <row r="49" spans="1:8" ht="10.8" x14ac:dyDescent="0.3">
      <c r="A49" s="166" t="s">
        <v>48</v>
      </c>
      <c r="B49" s="168">
        <v>440</v>
      </c>
      <c r="D49" s="166" t="s">
        <v>51</v>
      </c>
      <c r="E49" s="168">
        <v>1800</v>
      </c>
      <c r="G49" s="166" t="s">
        <v>51</v>
      </c>
      <c r="H49" s="168">
        <v>1100</v>
      </c>
    </row>
    <row r="50" spans="1:8" ht="10.8" x14ac:dyDescent="0.3">
      <c r="A50" s="166" t="s">
        <v>51</v>
      </c>
      <c r="B50" s="168">
        <v>270</v>
      </c>
      <c r="D50" s="166" t="s">
        <v>52</v>
      </c>
      <c r="E50" s="168">
        <v>1760</v>
      </c>
      <c r="G50" s="166" t="s">
        <v>50</v>
      </c>
      <c r="H50" s="168">
        <v>850</v>
      </c>
    </row>
    <row r="51" spans="1:8" ht="10.8" x14ac:dyDescent="0.3">
      <c r="A51" s="166" t="s">
        <v>53</v>
      </c>
      <c r="B51" s="168">
        <v>4717</v>
      </c>
      <c r="D51" s="166" t="s">
        <v>54</v>
      </c>
      <c r="E51" s="168">
        <v>1095</v>
      </c>
      <c r="G51" s="166" t="s">
        <v>52</v>
      </c>
      <c r="H51" s="168">
        <v>830</v>
      </c>
    </row>
    <row r="52" spans="1:8" ht="10.8" x14ac:dyDescent="0.3">
      <c r="D52" s="166" t="s">
        <v>47</v>
      </c>
      <c r="E52" s="168">
        <v>990</v>
      </c>
      <c r="G52" s="166" t="s">
        <v>49</v>
      </c>
      <c r="H52" s="168">
        <v>602</v>
      </c>
    </row>
    <row r="53" spans="1:8" ht="10.8" x14ac:dyDescent="0.3">
      <c r="D53" s="166" t="s">
        <v>49</v>
      </c>
      <c r="E53" s="168">
        <v>360</v>
      </c>
      <c r="G53" s="166" t="s">
        <v>54</v>
      </c>
      <c r="H53" s="168">
        <v>550</v>
      </c>
    </row>
    <row r="54" spans="1:8" ht="10.8" x14ac:dyDescent="0.3">
      <c r="D54" s="166" t="s">
        <v>53</v>
      </c>
      <c r="E54" s="168">
        <v>20120.62</v>
      </c>
      <c r="G54" s="166" t="s">
        <v>53</v>
      </c>
      <c r="H54" s="168">
        <v>12264</v>
      </c>
    </row>
    <row r="58" spans="1:8" ht="10.8" x14ac:dyDescent="0.3">
      <c r="A58" s="174" t="s">
        <v>35</v>
      </c>
      <c r="B58" s="166" t="s">
        <v>2</v>
      </c>
      <c r="D58" s="174" t="s">
        <v>35</v>
      </c>
      <c r="E58" s="166" t="s">
        <v>2</v>
      </c>
      <c r="G58" s="174" t="s">
        <v>35</v>
      </c>
      <c r="H58" s="166" t="s">
        <v>2</v>
      </c>
    </row>
    <row r="59" spans="1:8" ht="10.8" x14ac:dyDescent="0.3">
      <c r="A59" s="174" t="s">
        <v>36</v>
      </c>
      <c r="B59" s="166" t="s">
        <v>38</v>
      </c>
      <c r="D59" s="174" t="s">
        <v>36</v>
      </c>
      <c r="E59" s="166" t="s">
        <v>39</v>
      </c>
      <c r="H59" s="167" t="s">
        <v>55</v>
      </c>
    </row>
    <row r="60" spans="1:8" ht="10.8" x14ac:dyDescent="0.3">
      <c r="B60" s="167" t="s">
        <v>56</v>
      </c>
      <c r="E60" s="167" t="s">
        <v>57</v>
      </c>
      <c r="G60" s="174" t="s">
        <v>45</v>
      </c>
      <c r="H60" s="168" t="s">
        <v>44</v>
      </c>
    </row>
    <row r="61" spans="1:8" ht="10.8" x14ac:dyDescent="0.3">
      <c r="A61" s="174" t="s">
        <v>45</v>
      </c>
      <c r="B61" s="168" t="s">
        <v>44</v>
      </c>
      <c r="D61" s="174" t="s">
        <v>46</v>
      </c>
      <c r="E61" s="168" t="s">
        <v>44</v>
      </c>
      <c r="G61" s="166" t="s">
        <v>58</v>
      </c>
      <c r="H61" s="168">
        <v>4175</v>
      </c>
    </row>
    <row r="62" spans="1:8" ht="10.8" x14ac:dyDescent="0.3">
      <c r="A62" s="166" t="s">
        <v>59</v>
      </c>
      <c r="B62" s="168">
        <v>11420</v>
      </c>
      <c r="D62" s="166" t="s">
        <v>60</v>
      </c>
      <c r="E62" s="168">
        <v>6190.03</v>
      </c>
      <c r="G62" s="166" t="s">
        <v>61</v>
      </c>
      <c r="H62" s="168">
        <v>250.79000000000002</v>
      </c>
    </row>
    <row r="63" spans="1:8" ht="10.8" x14ac:dyDescent="0.3">
      <c r="A63" s="166" t="s">
        <v>62</v>
      </c>
      <c r="B63" s="168">
        <v>2390</v>
      </c>
      <c r="D63" s="166" t="s">
        <v>63</v>
      </c>
      <c r="E63" s="168">
        <v>5580</v>
      </c>
      <c r="G63" s="166" t="s">
        <v>53</v>
      </c>
      <c r="H63" s="168">
        <v>4425.79</v>
      </c>
    </row>
    <row r="64" spans="1:8" ht="14.4" x14ac:dyDescent="0.3">
      <c r="A64" s="166" t="s">
        <v>64</v>
      </c>
      <c r="B64" s="168">
        <v>1970</v>
      </c>
      <c r="D64" s="166" t="s">
        <v>65</v>
      </c>
      <c r="E64" s="168">
        <v>441.97</v>
      </c>
      <c r="G64"/>
      <c r="H64"/>
    </row>
    <row r="65" spans="1:8" ht="14.4" x14ac:dyDescent="0.3">
      <c r="A65" s="166" t="s">
        <v>66</v>
      </c>
      <c r="B65" s="168">
        <v>1860</v>
      </c>
      <c r="D65" s="166" t="s">
        <v>67</v>
      </c>
      <c r="E65" s="168">
        <v>52</v>
      </c>
      <c r="G65"/>
      <c r="H65"/>
    </row>
    <row r="66" spans="1:8" ht="14.4" x14ac:dyDescent="0.3">
      <c r="A66" s="166" t="s">
        <v>65</v>
      </c>
      <c r="B66" s="168">
        <v>900.62</v>
      </c>
      <c r="D66" s="166" t="s">
        <v>53</v>
      </c>
      <c r="E66" s="168">
        <v>12263.999999999998</v>
      </c>
      <c r="G66"/>
      <c r="H66"/>
    </row>
    <row r="67" spans="1:8" ht="14.4" x14ac:dyDescent="0.3">
      <c r="A67" s="166" t="s">
        <v>68</v>
      </c>
      <c r="B67" s="168">
        <v>880</v>
      </c>
      <c r="G67"/>
      <c r="H67"/>
    </row>
    <row r="68" spans="1:8" ht="10.8" x14ac:dyDescent="0.3">
      <c r="A68" s="166" t="s">
        <v>69</v>
      </c>
      <c r="B68" s="168">
        <v>550</v>
      </c>
    </row>
    <row r="69" spans="1:8" ht="10.8" x14ac:dyDescent="0.3">
      <c r="A69" s="166" t="s">
        <v>70</v>
      </c>
      <c r="B69" s="168">
        <v>150</v>
      </c>
    </row>
    <row r="70" spans="1:8" ht="10.8" x14ac:dyDescent="0.3">
      <c r="A70" s="166" t="s">
        <v>53</v>
      </c>
      <c r="B70" s="168">
        <v>20120.62</v>
      </c>
    </row>
    <row r="71" spans="1:8" ht="10.8" x14ac:dyDescent="0.3">
      <c r="G71" s="174" t="s">
        <v>35</v>
      </c>
      <c r="H71" s="166" t="s">
        <v>2</v>
      </c>
    </row>
    <row r="72" spans="1:8" ht="13.2" customHeight="1" x14ac:dyDescent="0.3">
      <c r="H72" s="167" t="s">
        <v>71</v>
      </c>
    </row>
    <row r="73" spans="1:8" ht="10.8" x14ac:dyDescent="0.3">
      <c r="G73" s="174" t="s">
        <v>45</v>
      </c>
      <c r="H73" s="168" t="s">
        <v>44</v>
      </c>
    </row>
    <row r="74" spans="1:8" ht="10.8" x14ac:dyDescent="0.3">
      <c r="G74" s="166" t="s">
        <v>72</v>
      </c>
      <c r="H74" s="168">
        <v>800.04</v>
      </c>
    </row>
    <row r="75" spans="1:8" ht="10.8" x14ac:dyDescent="0.3">
      <c r="G75" s="166" t="s">
        <v>73</v>
      </c>
      <c r="H75" s="168">
        <v>133.13</v>
      </c>
    </row>
    <row r="76" spans="1:8" ht="10.8" x14ac:dyDescent="0.3">
      <c r="G76" s="166" t="s">
        <v>74</v>
      </c>
      <c r="H76" s="168">
        <v>87.62</v>
      </c>
    </row>
    <row r="77" spans="1:8" ht="10.8" x14ac:dyDescent="0.3">
      <c r="G77" s="166" t="s">
        <v>75</v>
      </c>
      <c r="H77" s="168">
        <v>4853</v>
      </c>
    </row>
    <row r="78" spans="1:8" ht="10.8" x14ac:dyDescent="0.3">
      <c r="G78" s="166" t="s">
        <v>53</v>
      </c>
      <c r="H78" s="168">
        <v>5873.79</v>
      </c>
    </row>
    <row r="79" spans="1:8" ht="13.2" customHeight="1" x14ac:dyDescent="0.3">
      <c r="G79"/>
      <c r="H79"/>
    </row>
    <row r="80" spans="1:8" ht="13.2" customHeight="1" x14ac:dyDescent="0.3">
      <c r="G80"/>
      <c r="H80"/>
    </row>
    <row r="83" spans="1:7" ht="10.8" x14ac:dyDescent="0.3">
      <c r="A83" s="174" t="s">
        <v>1</v>
      </c>
      <c r="B83" s="166" t="s">
        <v>2</v>
      </c>
      <c r="C83" s="167" t="s">
        <v>76</v>
      </c>
    </row>
    <row r="85" spans="1:7" ht="10.8" x14ac:dyDescent="0.3">
      <c r="A85" s="174" t="s">
        <v>77</v>
      </c>
      <c r="B85" s="166" t="s">
        <v>78</v>
      </c>
      <c r="C85" s="166" t="s">
        <v>79</v>
      </c>
      <c r="D85" s="166" t="s">
        <v>80</v>
      </c>
      <c r="E85" s="171" t="s">
        <v>81</v>
      </c>
      <c r="F85" s="171" t="s">
        <v>82</v>
      </c>
      <c r="G85" s="171" t="s">
        <v>83</v>
      </c>
    </row>
    <row r="86" spans="1:7" ht="10.8" x14ac:dyDescent="0.3">
      <c r="A86" s="166" t="s">
        <v>84</v>
      </c>
      <c r="B86" s="168">
        <v>15228</v>
      </c>
      <c r="C86" s="169">
        <v>15</v>
      </c>
      <c r="D86" s="169">
        <v>2538</v>
      </c>
      <c r="E86" s="170">
        <v>6520</v>
      </c>
      <c r="F86" s="170">
        <f>B86/D86</f>
        <v>6</v>
      </c>
      <c r="G86" s="172">
        <f>IFERROR((D86*1.5)/1440, "?")</f>
        <v>2.6437499999999998</v>
      </c>
    </row>
    <row r="87" spans="1:7" ht="10.8" x14ac:dyDescent="0.3">
      <c r="A87" s="166" t="s">
        <v>85</v>
      </c>
      <c r="B87" s="168">
        <v>13966</v>
      </c>
      <c r="C87" s="169">
        <v>12</v>
      </c>
      <c r="D87" s="169">
        <v>2961</v>
      </c>
      <c r="E87" s="170">
        <v>8720</v>
      </c>
      <c r="F87" s="170">
        <f>B87/D87</f>
        <v>4.7166497804795675</v>
      </c>
      <c r="G87" s="172">
        <f>IFERROR((D87*1.5)/1440, "?")</f>
        <v>3.0843750000000001</v>
      </c>
    </row>
    <row r="89" spans="1:7" ht="13.2" customHeight="1" thickBot="1" x14ac:dyDescent="0.35">
      <c r="A89" s="167">
        <v>612</v>
      </c>
    </row>
    <row r="90" spans="1:7" ht="13.2" customHeight="1" x14ac:dyDescent="0.3">
      <c r="A90" s="182" t="s">
        <v>86</v>
      </c>
      <c r="B90" s="171" t="s">
        <v>87</v>
      </c>
    </row>
    <row r="91" spans="1:7" ht="13.2" customHeight="1" x14ac:dyDescent="0.3">
      <c r="A91" s="166" t="s">
        <v>84</v>
      </c>
      <c r="B91" s="173">
        <f>IFERROR((G86*24)/(C86*8),0)</f>
        <v>0.52874999999999994</v>
      </c>
    </row>
    <row r="92" spans="1:7" ht="13.2" customHeight="1" x14ac:dyDescent="0.3">
      <c r="A92" s="166" t="s">
        <v>85</v>
      </c>
      <c r="B92" s="173">
        <f>IFERROR((G87*24)/(C87*8),0)</f>
        <v>0.77109375000000002</v>
      </c>
    </row>
    <row r="200" spans="5:5" ht="13.2" customHeight="1" x14ac:dyDescent="0.3">
      <c r="E200" s="166" t="s">
        <v>3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drawing r:id="rId12"/>
  <tableParts count="2"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63F7-9913-46B5-B14A-C4A00A425955}">
  <sheetPr>
    <tabColor theme="2" tint="-0.89999084444715716"/>
  </sheetPr>
  <dimension ref="A1:U90"/>
  <sheetViews>
    <sheetView showGridLines="0" tabSelected="1" workbookViewId="0">
      <pane ySplit="1" topLeftCell="A31" activePane="bottomLeft" state="frozen"/>
      <selection pane="bottomLeft" activeCell="A48" sqref="A48"/>
    </sheetView>
  </sheetViews>
  <sheetFormatPr defaultColWidth="0" defaultRowHeight="15" customHeight="1" x14ac:dyDescent="0.3"/>
  <cols>
    <col min="1" max="1" width="17.6640625" style="15" bestFit="1" customWidth="1"/>
    <col min="2" max="2" width="17.109375" style="15" customWidth="1"/>
    <col min="3" max="4" width="5.109375" style="15" customWidth="1"/>
    <col min="5" max="6" width="9.5546875" style="141" customWidth="1"/>
    <col min="7" max="7" width="22" style="15" bestFit="1" customWidth="1"/>
    <col min="8" max="8" width="11.6640625" style="15" bestFit="1" customWidth="1"/>
    <col min="9" max="9" width="11.44140625" style="142" bestFit="1" customWidth="1"/>
    <col min="10" max="10" width="30.109375" style="15" customWidth="1"/>
    <col min="11" max="11" width="14" style="15" customWidth="1"/>
    <col min="12" max="13" width="12.6640625" style="15" customWidth="1"/>
    <col min="14" max="14" width="21.6640625" style="15" customWidth="1"/>
    <col min="15" max="16" width="14" style="15" customWidth="1"/>
    <col min="17" max="17" width="13.5546875" style="15" customWidth="1"/>
    <col min="18" max="19" width="9.6640625" style="15" customWidth="1"/>
    <col min="20" max="20" width="4.88671875" style="2" bestFit="1" customWidth="1"/>
    <col min="21" max="21" width="15" style="2" customWidth="1"/>
    <col min="22" max="16384" width="0" style="1" hidden="1"/>
  </cols>
  <sheetData>
    <row r="1" spans="1:21" s="9" customFormat="1" ht="14.4" x14ac:dyDescent="0.3">
      <c r="A1" s="12" t="s">
        <v>88</v>
      </c>
      <c r="B1" s="10" t="s">
        <v>89</v>
      </c>
      <c r="C1" s="10" t="s">
        <v>90</v>
      </c>
      <c r="D1" s="10" t="s">
        <v>91</v>
      </c>
      <c r="E1" s="98" t="s">
        <v>92</v>
      </c>
      <c r="F1" s="99" t="s">
        <v>93</v>
      </c>
      <c r="G1" s="10" t="s">
        <v>94</v>
      </c>
      <c r="H1" s="10" t="s">
        <v>1</v>
      </c>
      <c r="I1" s="101" t="s">
        <v>95</v>
      </c>
      <c r="J1" s="10" t="s">
        <v>96</v>
      </c>
      <c r="K1" s="10" t="s">
        <v>97</v>
      </c>
      <c r="L1" s="10" t="s">
        <v>98</v>
      </c>
      <c r="M1" s="10" t="s">
        <v>99</v>
      </c>
      <c r="N1" s="12" t="s">
        <v>36</v>
      </c>
      <c r="O1" s="10" t="s">
        <v>100</v>
      </c>
      <c r="P1" s="12" t="s">
        <v>101</v>
      </c>
      <c r="Q1" s="10" t="s">
        <v>102</v>
      </c>
      <c r="R1" s="10" t="s">
        <v>103</v>
      </c>
      <c r="S1" s="10" t="s">
        <v>104</v>
      </c>
      <c r="T1" s="64"/>
      <c r="U1" s="64"/>
    </row>
    <row r="2" spans="1:21" ht="14.4" x14ac:dyDescent="0.3">
      <c r="A2" s="12" t="s">
        <v>105</v>
      </c>
      <c r="B2" s="10" t="s">
        <v>31</v>
      </c>
      <c r="C2" s="97">
        <f t="shared" ref="C2:C33" si="0">IFERROR((D2*1.5)/1440, "?")</f>
        <v>0.10208333333333333</v>
      </c>
      <c r="D2" s="10">
        <v>98</v>
      </c>
      <c r="E2" s="98"/>
      <c r="F2" s="99">
        <v>300</v>
      </c>
      <c r="G2" s="10" t="s">
        <v>106</v>
      </c>
      <c r="H2" s="100">
        <v>45964</v>
      </c>
      <c r="I2" s="101">
        <v>45964</v>
      </c>
      <c r="J2" s="10" t="s">
        <v>107</v>
      </c>
      <c r="K2" s="10" t="s">
        <v>108</v>
      </c>
      <c r="L2" s="10" t="s">
        <v>49</v>
      </c>
      <c r="M2" s="10" t="s">
        <v>109</v>
      </c>
      <c r="N2" s="12" t="s">
        <v>110</v>
      </c>
      <c r="O2" s="10" t="s">
        <v>111</v>
      </c>
      <c r="P2" s="13" t="s">
        <v>112</v>
      </c>
      <c r="Q2" s="10" t="s">
        <v>113</v>
      </c>
      <c r="R2" s="10" t="s">
        <v>49</v>
      </c>
      <c r="S2" s="10" t="s">
        <v>10</v>
      </c>
      <c r="T2" s="2" t="str">
        <f>IF(
  OR(
    IFERROR(FIND("BM",G2),0)&gt;0,
    IFERROR(FIND("PY",G2),0)&gt;0
  ),
  MID(TRIM(SUBSTITUTE(SUBSTITUTE(G2,CHAR(160),""),CHAR(9),"")),4,5),
  MID(TRIM(SUBSTITUTE(SUBSTITUTE(G2,CHAR(160),""),CHAR(9),"")),4,4)
)</f>
        <v>5060E</v>
      </c>
      <c r="U2" s="2" t="str" cm="1">
        <f t="array" ref="U2">_xlfn.LET(
  _xlpm.ch, TRIM(SUBSTITUTE(G2,CHAR(160),"")),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IF(L2="CLIENTE", O2, IF(LEFT(L2,4)="http", L2, "MACPONTA AGRO DE "&amp;L2)),
  _xlpm.paraBase, IF(M2="CLIENTE", P2, M2),
  _xlpm.paraTxt, IF(LEFT(_xlpm.paraBase,4)="http", _xlpm.paraBase, "MACPONTA AGRO DE "&amp;_xlpm.paraBase),
  _xlpm.nfParte, IF(LEN(TRIM(I2))=0, "", " -NF "&amp;TRIM(I2)),
  "- " &amp; _xlpm.tipotxt &amp; ": *" &amp; G2 &amp; "*" &amp; CHAR(13)&amp;CHAR(10) &amp;
  "- " &amp; _xlpm.dimtxt &amp; CHAR(13)&amp;CHAR(10) &amp;
  "- *Cliente*: " &amp; J2 &amp; _xlpm.nfParte &amp; CHAR(13)&amp;CHAR(10) &amp;
  "- *Obs:* " &amp; Q2 &amp; CHAR(13)&amp;CHAR(10) &amp; CHAR(10) &amp;
  "- *De*: " &amp; _xlpm.deTxt &amp; CHAR(13)&amp;CHAR(10) &amp;
  "- *Para*: " &amp; _xlpm.paraTxt &amp; CHAR(13)&amp;CHAR(10) &amp;
  "- *Ida e volta*: +/- " &amp; TEXT(((D2*1.5)/1440),"h:mm") &amp; "h | " &amp; D2 &amp; "km"
)</f>
        <v>- TRATOR: *1BM5060ECN4103629*_x000D_
- _x000D_
- *Cliente*: MANUTENÇÃO → CLIENTE -NF 45964_x000D_
- *Obs:* cezar_x000D_
- *De*: MACPONTA AGRO DE IRATI_x000D_
- *Para*: https://maps.app.goo.gl/MLVchYQrLvQGhWWp6_x000D_
- *Ida e volta*: +/- 2:27h | 98km</v>
      </c>
    </row>
    <row r="3" spans="1:21" ht="14.4" x14ac:dyDescent="0.3">
      <c r="A3" s="12" t="s">
        <v>105</v>
      </c>
      <c r="B3" s="10" t="s">
        <v>31</v>
      </c>
      <c r="C3" s="97">
        <f t="shared" si="0"/>
        <v>0.11979166666666667</v>
      </c>
      <c r="D3" s="10">
        <v>115</v>
      </c>
      <c r="E3" s="98"/>
      <c r="F3" s="99">
        <v>500</v>
      </c>
      <c r="G3" s="10" t="s">
        <v>114</v>
      </c>
      <c r="H3" s="100">
        <v>45964</v>
      </c>
      <c r="I3" s="101">
        <v>45964</v>
      </c>
      <c r="J3" s="10" t="s">
        <v>107</v>
      </c>
      <c r="K3" s="10" t="s">
        <v>108</v>
      </c>
      <c r="L3" s="10" t="s">
        <v>49</v>
      </c>
      <c r="M3" s="10" t="s">
        <v>109</v>
      </c>
      <c r="N3" s="12" t="s">
        <v>110</v>
      </c>
      <c r="O3" s="10" t="s">
        <v>111</v>
      </c>
      <c r="P3" s="13" t="s">
        <v>115</v>
      </c>
      <c r="Q3" s="10" t="s">
        <v>116</v>
      </c>
      <c r="R3" s="10" t="s">
        <v>49</v>
      </c>
      <c r="S3" s="10" t="s">
        <v>10</v>
      </c>
      <c r="T3" s="2" t="str">
        <f t="shared" ref="T3:T33" si="1">IF(
  OR(
    IFERROR(FIND("BM",G3),0)&gt;0,
    IFERROR(FIND("PY",G3),0)&gt;0
  ),
  MID(TRIM(SUBSTITUTE(SUBSTITUTE(G3,CHAR(160),""),CHAR(9),"")),4,5),
  MID(TRIM(SUBSTITUTE(SUBSTITUTE(G3,CHAR(160),""),CHAR(9),"")),4,4)
)</f>
        <v>5080E</v>
      </c>
      <c r="U3" s="2" t="str" cm="1">
        <f t="array" ref="U3">_xlfn.LET(
  _xlpm.ch, TRIM(SUBSTITUTE(G3,CHAR(160),"")),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IF(L3="CLIENTE", O3, IF(LEFT(L3,4)="http", L3, "MACPONTA AGRO DE "&amp;L3)),
  _xlpm.paraBase, IF(M3="CLIENTE", P3, M3),
  _xlpm.paraTxt, IF(LEFT(_xlpm.paraBase,4)="http", _xlpm.paraBase, "MACPONTA AGRO DE "&amp;_xlpm.paraBase),
  _xlpm.nfParte, IF(LEN(TRIM(I3))=0, "", " -NF "&amp;TRIM(I3)),
  "- " &amp; _xlpm.tipotxt &amp; ": *" &amp; G3 &amp; "*" &amp; CHAR(13)&amp;CHAR(10) &amp;
  "- " &amp; _xlpm.dimtxt &amp; CHAR(13)&amp;CHAR(10) &amp;
  "- *Cliente*: " &amp; J3 &amp; _xlpm.nfParte &amp; CHAR(13)&amp;CHAR(10) &amp;
  "- *Obs:* " &amp; Q3 &amp; CHAR(13)&amp;CHAR(10) &amp; CHAR(10) &amp;
  "- *De*: " &amp; _xlpm.deTxt &amp; CHAR(13)&amp;CHAR(10) &amp;
  "- *Para*: " &amp; _xlpm.paraTxt &amp; CHAR(13)&amp;CHAR(10) &amp;
  "- *Ida e volta*: +/- " &amp; TEXT(((D3*1.5)/1440),"h:mm") &amp; "h | " &amp; D3 &amp; "km"
)</f>
        <v>- TRATOR: *1BM5080ECP4111950*_x000D_
- _x000D_
- *Cliente*: MANUTENÇÃO → CLIENTE -NF 45964_x000D_
- *Obs:* RICARDO DRANKA_x000D_
- *De*: MACPONTA AGRO DE IRATI_x000D_
- *Para*: https://maps.app.goo.gl/rYQLkSMERduCoffL8_x000D_
- *Ida e volta*: +/- 2:52h | 115km</v>
      </c>
    </row>
    <row r="4" spans="1:21" ht="14.4" x14ac:dyDescent="0.3">
      <c r="A4" s="12" t="s">
        <v>105</v>
      </c>
      <c r="B4" s="10" t="s">
        <v>31</v>
      </c>
      <c r="C4" s="97">
        <f t="shared" si="0"/>
        <v>0.11979166666666667</v>
      </c>
      <c r="D4" s="10">
        <v>115</v>
      </c>
      <c r="E4" s="98"/>
      <c r="F4" s="99">
        <v>300</v>
      </c>
      <c r="G4" s="10" t="s">
        <v>117</v>
      </c>
      <c r="H4" s="100">
        <v>45964</v>
      </c>
      <c r="I4" s="101">
        <v>45964</v>
      </c>
      <c r="J4" s="10" t="s">
        <v>118</v>
      </c>
      <c r="K4" s="10" t="s">
        <v>108</v>
      </c>
      <c r="L4" s="10" t="s">
        <v>109</v>
      </c>
      <c r="M4" s="10" t="s">
        <v>49</v>
      </c>
      <c r="N4" s="12" t="s">
        <v>119</v>
      </c>
      <c r="O4" s="11" t="s">
        <v>120</v>
      </c>
      <c r="P4" s="12" t="s">
        <v>111</v>
      </c>
      <c r="Q4" s="10" t="s">
        <v>121</v>
      </c>
      <c r="R4" s="10" t="s">
        <v>49</v>
      </c>
      <c r="S4" s="10" t="s">
        <v>10</v>
      </c>
      <c r="T4" s="2" t="str">
        <f t="shared" si="1"/>
        <v>5080E</v>
      </c>
      <c r="U4" s="2" t="str" cm="1">
        <f t="array" ref="U4">_xlfn.LET(
  _xlpm.ch, TRIM(SUBSTITUTE(G4,CHAR(160),"")),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IF(L4="CLIENTE", O4, IF(LEFT(L4,4)="http", L4, "MACPONTA AGRO DE "&amp;L4)),
  _xlpm.paraBase, IF(M4="CLIENTE", P4, M4),
  _xlpm.paraTxt, IF(LEFT(_xlpm.paraBase,4)="http", _xlpm.paraBase, "MACPONTA AGRO DE "&amp;_xlpm.paraBase),
  _xlpm.nfParte, IF(LEN(TRIM(I4))=0, "", " -NF "&amp;TRIM(I4)),
  "- " &amp; _xlpm.tipotxt &amp; ": *" &amp; G4 &amp; "*" &amp; CHAR(13)&amp;CHAR(10) &amp;
  "- " &amp; _xlpm.dimtxt &amp; CHAR(13)&amp;CHAR(10) &amp;
  "- *Cliente*: " &amp; J4 &amp; _xlpm.nfParte &amp; CHAR(13)&amp;CHAR(10) &amp;
  "- *Obs:* " &amp; Q4 &amp; CHAR(13)&amp;CHAR(10) &amp; CHAR(10) &amp;
  "- *De*: " &amp; _xlpm.deTxt &amp; CHAR(13)&amp;CHAR(10) &amp;
  "- *Para*: " &amp; _xlpm.paraTxt &amp; CHAR(13)&amp;CHAR(10) &amp;
  "- *Ida e volta*: +/- " &amp; TEXT(((D4*1.5)/1440),"h:mm") &amp; "h | " &amp; D4 &amp; "km"
)</f>
        <v>- TRATOR: *1BM5080EEP4112594*_x000D_
- _x000D_
- *Cliente*: CLIENTE → MANUTENÇÃO -NF 45964_x000D_
- *Obs:* jose_x000D_
- *De*: https://maps.app.goo.gl/MTXwpjxVEM4SBPA46_x000D_
- *Para*: MACPONTA AGRO DE IRATI_x000D_
- *Ida e volta*: +/- 2:52h | 115km</v>
      </c>
    </row>
    <row r="5" spans="1:21" ht="14.4" x14ac:dyDescent="0.3">
      <c r="A5" s="12" t="s">
        <v>105</v>
      </c>
      <c r="B5" s="10" t="s">
        <v>27</v>
      </c>
      <c r="C5" s="97">
        <f t="shared" si="0"/>
        <v>0.15625</v>
      </c>
      <c r="D5" s="10">
        <v>150</v>
      </c>
      <c r="E5" s="98"/>
      <c r="F5" s="99">
        <v>1352</v>
      </c>
      <c r="G5" s="10" t="s">
        <v>122</v>
      </c>
      <c r="H5" s="100">
        <v>45964</v>
      </c>
      <c r="I5" s="101">
        <v>45964</v>
      </c>
      <c r="J5" s="10" t="s">
        <v>123</v>
      </c>
      <c r="K5" s="10" t="s">
        <v>124</v>
      </c>
      <c r="L5" s="10" t="s">
        <v>125</v>
      </c>
      <c r="M5" s="10" t="s">
        <v>109</v>
      </c>
      <c r="N5" s="12" t="s">
        <v>110</v>
      </c>
      <c r="O5" s="10" t="s">
        <v>111</v>
      </c>
      <c r="P5" s="12" t="s">
        <v>126</v>
      </c>
      <c r="Q5" s="10" t="s">
        <v>127</v>
      </c>
      <c r="R5" s="10" t="s">
        <v>125</v>
      </c>
      <c r="S5" s="10" t="s">
        <v>10</v>
      </c>
      <c r="T5" s="2" t="str">
        <f t="shared" si="1"/>
        <v>5080E</v>
      </c>
      <c r="U5" s="2" t="str" cm="1">
        <f t="array" ref="U5">_xlfn.LET(
  _xlpm.ch, TRIM(SUBSTITUTE(G5,CHAR(160),"")),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IF(L5="CLIENTE", O5, IF(LEFT(L5,4)="http", L5, "MACPONTA AGRO DE "&amp;L5)),
  _xlpm.paraBase, IF(M5="CLIENTE", P5, M5),
  _xlpm.paraTxt, IF(LEFT(_xlpm.paraBase,4)="http", _xlpm.paraBase, "MACPONTA AGRO DE "&amp;_xlpm.paraBase),
  _xlpm.nfParte, IF(LEN(TRIM(I5))=0, "", " -NF "&amp;TRIM(I5)),
  "- " &amp; _xlpm.tipotxt &amp; ": *" &amp; G5 &amp; "*" &amp; CHAR(13)&amp;CHAR(10) &amp;
  "- " &amp; _xlpm.dimtxt &amp; CHAR(13)&amp;CHAR(10) &amp;
  "- *Cliente*: " &amp; J5 &amp; _xlpm.nfParte &amp; CHAR(13)&amp;CHAR(10) &amp;
  "- *Obs:* " &amp; Q5 &amp; CHAR(13)&amp;CHAR(10) &amp; CHAR(10) &amp;
  "- *De*: " &amp; _xlpm.deTxt &amp; CHAR(13)&amp;CHAR(10) &amp;
  "- *Para*: " &amp; _xlpm.paraTxt &amp; CHAR(13)&amp;CHAR(10) &amp;
  "- *Ida e volta*: +/- " &amp; TEXT(((D5*1.5)/1440),"h:mm") &amp; "h | " &amp; D5 &amp; "km"
)</f>
        <v>- TRATOR: *1BM5080EPS4204124*_x000D_
- _x000D_
- *Cliente*: LUIZ HENRIQUE GREIN -NF107347  -NF 45964_x000D_
- *Obs:* Emerson_x000D_
- *De*: MACPONTA AGRO DE GUARAPUAVA_x000D_
- *Para*: https://maps.app.goo.gl/jZEWqzLvNcpTnRBE8_x000D_
- *Ida e volta*: +/- 3:45h | 150km</v>
      </c>
    </row>
    <row r="6" spans="1:21" ht="14.4" x14ac:dyDescent="0.3">
      <c r="A6" s="12" t="s">
        <v>105</v>
      </c>
      <c r="B6" s="10" t="s">
        <v>27</v>
      </c>
      <c r="C6" s="97">
        <f t="shared" si="0"/>
        <v>0.17916666666666667</v>
      </c>
      <c r="D6" s="10">
        <v>172</v>
      </c>
      <c r="E6" s="98"/>
      <c r="F6" s="99">
        <v>650</v>
      </c>
      <c r="G6" s="10" t="s">
        <v>128</v>
      </c>
      <c r="H6" s="100">
        <v>45964</v>
      </c>
      <c r="I6" s="101">
        <v>45964</v>
      </c>
      <c r="J6" s="10" t="s">
        <v>129</v>
      </c>
      <c r="K6" s="10" t="s">
        <v>124</v>
      </c>
      <c r="L6" s="10" t="s">
        <v>125</v>
      </c>
      <c r="M6" s="10" t="s">
        <v>109</v>
      </c>
      <c r="N6" s="12" t="s">
        <v>110</v>
      </c>
      <c r="O6" s="10" t="s">
        <v>111</v>
      </c>
      <c r="P6" s="13" t="s">
        <v>130</v>
      </c>
      <c r="Q6" s="10" t="s">
        <v>131</v>
      </c>
      <c r="R6" s="10" t="s">
        <v>125</v>
      </c>
      <c r="S6" s="10" t="s">
        <v>8</v>
      </c>
      <c r="T6" s="2" t="str">
        <f t="shared" si="1"/>
        <v>FA30</v>
      </c>
      <c r="U6" s="2" t="str" cm="1">
        <f t="array" ref="U6">_xlfn.LET(
  _xlpm.ch, TRIM(SUBSTITUTE(G6,CHAR(160),"")),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IF(L6="CLIENTE", O6, IF(LEFT(L6,4)="http", L6, "MACPONTA AGRO DE "&amp;L6)),
  _xlpm.paraBase, IF(M6="CLIENTE", P6, M6),
  _xlpm.paraTxt, IF(LEFT(_xlpm.paraBase,4)="http", _xlpm.paraBase, "MACPONTA AGRO DE "&amp;_xlpm.paraBase),
  _xlpm.nfParte, IF(LEN(TRIM(I6))=0, "", " -NF "&amp;TRIM(I6)),
  "- " &amp; _xlpm.tipotxt &amp; ": *" &amp; G6 &amp; "*" &amp; CHAR(13)&amp;CHAR(10) &amp;
  "- " &amp; _xlpm.dimtxt &amp; CHAR(13)&amp;CHAR(10) &amp;
  "- *Cliente*: " &amp; J6 &amp; _xlpm.nfParte &amp; CHAR(13)&amp;CHAR(10) &amp;
  "- *Obs:* " &amp; Q6 &amp; CHAR(13)&amp;CHAR(10) &amp; CHAR(10) &amp;
  "- *De*: " &amp; _xlpm.deTxt &amp; CHAR(13)&amp;CHAR(10) &amp;
  "- *Para*: " &amp; _xlpm.paraTxt &amp; CHAR(13)&amp;CHAR(10) &amp;
  "- *Ida e volta*: +/- " &amp; TEXT(((D6*1.5)/1440),"h:mm") &amp; "h | " &amp; D6 &amp; "km"
)</f>
        <v>- PLATAFORMA: *1CQFA30AAS0160114*_x000D_
- A:1,60 x C:9,14 x L:1,80-1,80 x P:2.900kg_x000D_
- *Cliente*: ARNALDO STOCK -NF107847 -NF 45964_x000D_
- *Obs:* Fabio _x000D_
- *De*: MACPONTA AGRO DE GUARAPUAVA_x000D_
- *Para*: https://maps.app.goo.gl/kFwUPivsMpYS8pGd8_x000D_
- *Ida e volta*: +/- 4:18h | 172km</v>
      </c>
    </row>
    <row r="7" spans="1:21" ht="14.4" x14ac:dyDescent="0.3">
      <c r="A7" s="12" t="s">
        <v>105</v>
      </c>
      <c r="B7" s="10" t="s">
        <v>27</v>
      </c>
      <c r="C7" s="97">
        <f t="shared" si="0"/>
        <v>0.17916666666666667</v>
      </c>
      <c r="D7" s="10">
        <v>172</v>
      </c>
      <c r="E7" s="98"/>
      <c r="F7" s="99">
        <v>650</v>
      </c>
      <c r="G7" s="10" t="s">
        <v>132</v>
      </c>
      <c r="H7" s="100">
        <v>45964</v>
      </c>
      <c r="I7" s="101">
        <v>45964</v>
      </c>
      <c r="J7" s="10" t="s">
        <v>129</v>
      </c>
      <c r="K7" s="10" t="s">
        <v>124</v>
      </c>
      <c r="L7" s="10" t="s">
        <v>125</v>
      </c>
      <c r="M7" s="10" t="s">
        <v>109</v>
      </c>
      <c r="N7" s="12" t="s">
        <v>110</v>
      </c>
      <c r="O7" s="10" t="s">
        <v>111</v>
      </c>
      <c r="P7" s="13" t="s">
        <v>133</v>
      </c>
      <c r="Q7" s="10" t="s">
        <v>131</v>
      </c>
      <c r="R7" s="10" t="s">
        <v>125</v>
      </c>
      <c r="S7" s="10" t="s">
        <v>6</v>
      </c>
      <c r="T7" s="2" t="str">
        <f t="shared" si="1"/>
        <v>S760</v>
      </c>
      <c r="U7" s="2" t="str" cm="1">
        <f t="array" ref="U7">_xlfn.LET(
  _xlpm.ch, TRIM(SUBSTITUTE(G7,CHAR(160),"")),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IF(L7="CLIENTE", O7, IF(LEFT(L7,4)="http", L7, "MACPONTA AGRO DE "&amp;L7)),
  _xlpm.paraBase, IF(M7="CLIENTE", P7, M7),
  _xlpm.paraTxt, IF(LEFT(_xlpm.paraBase,4)="http", _xlpm.paraBase, "MACPONTA AGRO DE "&amp;_xlpm.paraBase),
  _xlpm.nfParte, IF(LEN(TRIM(I7))=0, "", " -NF "&amp;TRIM(I7)),
  "- " &amp; _xlpm.tipotxt &amp; ": *" &amp; G7 &amp; "*" &amp; CHAR(13)&amp;CHAR(10) &amp;
  "- " &amp; _xlpm.dimtxt &amp; CHAR(13)&amp;CHAR(10) &amp;
  "- *Cliente*: " &amp; J7 &amp; _xlpm.nfParte &amp; CHAR(13)&amp;CHAR(10) &amp;
  "- *Obs:* " &amp; Q7 &amp; CHAR(13)&amp;CHAR(10) &amp; CHAR(10) &amp;
  "- *De*: " &amp; _xlpm.deTxt &amp; CHAR(13)&amp;CHAR(10) &amp;
  "- *Para*: " &amp; _xlpm.paraTxt &amp; CHAR(13)&amp;CHAR(10) &amp;
  "- *Ida e volta*: +/- " &amp; TEXT(((D7*1.5)/1440),"h:mm") &amp; "h | " &amp; D7 &amp; "km"
)</f>
        <v>- COLHEITADEIRA: *1CQS760ACS0160134*_x000D_
- A:4,00 x C:10,60 x L:3,50-5,20 x P:18.599kg_x000D_
- *Cliente*: ARNALDO STOCK -NF107847 -NF 45964_x000D_
- *Obs:* Fabio _x000D_
- *De*: MACPONTA AGRO DE GUARAPUAVA_x000D_
- *Para*: https://maps.app.goo.gl/Kk5FKYUBPHUbo26P8_x000D_
- *Ida e volta*: +/- 4:18h | 172km</v>
      </c>
    </row>
    <row r="8" spans="1:21" ht="14.4" x14ac:dyDescent="0.3">
      <c r="A8" s="12" t="s">
        <v>105</v>
      </c>
      <c r="B8" s="10" t="s">
        <v>34</v>
      </c>
      <c r="C8" s="97">
        <f t="shared" si="0"/>
        <v>7.2916666666666671E-2</v>
      </c>
      <c r="D8" s="10">
        <v>70</v>
      </c>
      <c r="E8" s="98"/>
      <c r="F8" s="99">
        <v>910</v>
      </c>
      <c r="G8" s="10" t="s">
        <v>134</v>
      </c>
      <c r="H8" s="100">
        <v>45964</v>
      </c>
      <c r="I8" s="101">
        <v>45964</v>
      </c>
      <c r="J8" s="10" t="s">
        <v>135</v>
      </c>
      <c r="K8" s="10" t="s">
        <v>136</v>
      </c>
      <c r="L8" s="10" t="s">
        <v>49</v>
      </c>
      <c r="M8" s="10" t="s">
        <v>109</v>
      </c>
      <c r="N8" s="12" t="s">
        <v>110</v>
      </c>
      <c r="O8" s="10" t="s">
        <v>111</v>
      </c>
      <c r="P8" s="12" t="s">
        <v>137</v>
      </c>
      <c r="Q8" s="10" t="s">
        <v>138</v>
      </c>
      <c r="R8" s="10" t="s">
        <v>49</v>
      </c>
      <c r="S8" s="10" t="s">
        <v>10</v>
      </c>
      <c r="T8" s="2" t="str">
        <f t="shared" si="1"/>
        <v>6135M</v>
      </c>
      <c r="U8" s="2" t="str" cm="1">
        <f t="array" ref="U8">_xlfn.LET(
  _xlpm.ch, TRIM(SUBSTITUTE(G8,CHAR(160),"")),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IF(L8="CLIENTE", O8, IF(LEFT(L8,4)="http", L8, "MACPONTA AGRO DE "&amp;L8)),
  _xlpm.paraBase, IF(M8="CLIENTE", P8, M8),
  _xlpm.paraTxt, IF(LEFT(_xlpm.paraBase,4)="http", _xlpm.paraBase, "MACPONTA AGRO DE "&amp;_xlpm.paraBase),
  _xlpm.nfParte, IF(LEN(TRIM(I8))=0, "", " -NF "&amp;TRIM(I8)),
  "- " &amp; _xlpm.tipotxt &amp; ": *" &amp; G8 &amp; "*" &amp; CHAR(13)&amp;CHAR(10) &amp;
  "- " &amp; _xlpm.dimtxt &amp; CHAR(13)&amp;CHAR(10) &amp;
  "- *Cliente*: " &amp; J8 &amp; _xlpm.nfParte &amp; CHAR(13)&amp;CHAR(10) &amp;
  "- *Obs:* " &amp; Q8 &amp; CHAR(13)&amp;CHAR(10) &amp; CHAR(10) &amp;
  "- *De*: " &amp; _xlpm.deTxt &amp; CHAR(13)&amp;CHAR(10) &amp;
  "- *Para*: " &amp; _xlpm.paraTxt &amp; CHAR(13)&amp;CHAR(10) &amp;
  "- *Ida e volta*: +/- " &amp; TEXT(((D8*1.5)/1440),"h:mm") &amp; "h | " &amp; D8 &amp; "km"
)</f>
        <v>- TRATOR: *1BM6135MPSH000596*_x000D_
- _x000D_
- *Cliente*: LAURO MIGUEL STRONA -NF76755 -NF 45964_x000D_
- *Obs:* LAURO MIGUEL STRONA   42 999269190_x000D_
- *De*: MACPONTA AGRO DE IRATI_x000D_
- *Para*: https://maps.app.goo.gl/JxzGitfYRrvxzYUL9_x000D_
- *Ida e volta*: +/- 1:45h | 70km</v>
      </c>
    </row>
    <row r="9" spans="1:21" ht="14.4" x14ac:dyDescent="0.3">
      <c r="A9" s="12" t="s">
        <v>105</v>
      </c>
      <c r="B9" s="10" t="s">
        <v>84</v>
      </c>
      <c r="C9" s="97">
        <f t="shared" si="0"/>
        <v>0.34375</v>
      </c>
      <c r="D9" s="10">
        <v>330</v>
      </c>
      <c r="E9" s="98">
        <f>IFERROR((D9*6),"?")</f>
        <v>1980</v>
      </c>
      <c r="F9" s="99"/>
      <c r="G9" s="10" t="s">
        <v>139</v>
      </c>
      <c r="H9" s="100">
        <v>45965</v>
      </c>
      <c r="I9" s="101">
        <v>45965</v>
      </c>
      <c r="J9" s="10" t="s">
        <v>140</v>
      </c>
      <c r="K9" s="10" t="s">
        <v>141</v>
      </c>
      <c r="L9" s="10" t="s">
        <v>142</v>
      </c>
      <c r="M9" s="10" t="s">
        <v>109</v>
      </c>
      <c r="N9" s="12" t="s">
        <v>110</v>
      </c>
      <c r="O9" s="10" t="s">
        <v>111</v>
      </c>
      <c r="P9" s="135" t="s">
        <v>143</v>
      </c>
      <c r="Q9" s="10" t="s">
        <v>144</v>
      </c>
      <c r="R9" s="10" t="s">
        <v>142</v>
      </c>
      <c r="S9" s="10" t="s">
        <v>9</v>
      </c>
      <c r="T9" s="2" t="str">
        <f t="shared" si="1"/>
        <v>4025</v>
      </c>
      <c r="U9" s="2" t="str" cm="1">
        <f t="array" ref="U9">_xlfn.LET(
  _xlpm.ch, TRIM(SUBSTITUTE(G9,CHAR(160),"")),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IF(L9="CLIENTE", O9, IF(LEFT(L9,4)="http", L9, "MACPONTA AGRO DE "&amp;L9)),
  _xlpm.paraBase, IF(M9="CLIENTE", P9, M9),
  _xlpm.paraTxt, IF(LEFT(_xlpm.paraBase,4)="http", _xlpm.paraBase, "MACPONTA AGRO DE "&amp;_xlpm.paraBase),
  _xlpm.nfParte, IF(LEN(TRIM(I9))=0, "", " -NF "&amp;TRIM(I9)),
  "- " &amp; _xlpm.tipotxt &amp; ": *" &amp; G9 &amp; "*" &amp; CHAR(13)&amp;CHAR(10) &amp;
  "- " &amp; _xlpm.dimtxt &amp; CHAR(13)&amp;CHAR(10) &amp;
  "- *Cliente*: " &amp; J9 &amp; _xlpm.nfParte &amp; CHAR(13)&amp;CHAR(10) &amp;
  "- *Obs:* " &amp; Q9 &amp; CHAR(13)&amp;CHAR(10) &amp; CHAR(10) &amp;
  "- *De*: " &amp; _xlpm.deTxt &amp; CHAR(13)&amp;CHAR(10) &amp;
  "- *Para*: " &amp; _xlpm.paraTxt &amp; CHAR(13)&amp;CHAR(10) &amp;
  "- *Ida e volta*: +/- " &amp; TEXT(((D9*1.5)/1440),"h:mm") &amp; "h | " &amp; D9 &amp; "km"
)</f>
        <v>- PULVERIZADOR: *1NW4025MVKF190132*_x000D_
- A:3,34 x C:7,00 x L:2,72-3,30 x P:9.703kg_x000D_
- *Cliente*: MARLON BONILHA -NF61707 -NF 45965_x000D_
- *Obs:* Contato CEN Alison 43.98409-2094_x000D_
- *De*: MACPONTA AGRO DE PONTA GROSSA_x000D_
- *Para*: https://maps.app.goo.gl/F6zwbnVFirHNNuCLA_x000D_
- *Ida e volta*: +/- 8:15h | 330km</v>
      </c>
    </row>
    <row r="10" spans="1:21" ht="14.4" x14ac:dyDescent="0.3">
      <c r="A10" s="12" t="s">
        <v>105</v>
      </c>
      <c r="B10" s="10" t="s">
        <v>84</v>
      </c>
      <c r="C10" s="97">
        <f t="shared" si="0"/>
        <v>5.8333333333333334E-2</v>
      </c>
      <c r="D10" s="10">
        <v>56</v>
      </c>
      <c r="E10" s="98">
        <f>IFERROR((D10*6),"?")</f>
        <v>336</v>
      </c>
      <c r="F10" s="99"/>
      <c r="G10" s="10" t="s">
        <v>145</v>
      </c>
      <c r="H10" s="100">
        <v>45965</v>
      </c>
      <c r="I10" s="101">
        <v>45964</v>
      </c>
      <c r="J10" s="10" t="s">
        <v>146</v>
      </c>
      <c r="K10" s="10" t="s">
        <v>147</v>
      </c>
      <c r="L10" s="10" t="s">
        <v>142</v>
      </c>
      <c r="M10" s="10" t="s">
        <v>109</v>
      </c>
      <c r="N10" s="12" t="s">
        <v>110</v>
      </c>
      <c r="O10" s="10" t="s">
        <v>111</v>
      </c>
      <c r="P10" s="12" t="s">
        <v>148</v>
      </c>
      <c r="Q10" s="10" t="s">
        <v>149</v>
      </c>
      <c r="R10" s="10" t="s">
        <v>142</v>
      </c>
      <c r="S10" s="10" t="s">
        <v>10</v>
      </c>
      <c r="T10" s="2" t="str">
        <f t="shared" si="1"/>
        <v>5060E</v>
      </c>
      <c r="U10" s="2" t="str" cm="1">
        <f t="array" ref="U10">_xlfn.LET(
  _xlpm.ch, TRIM(SUBSTITUTE(G10,CHAR(160),"")),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IF(L10="CLIENTE", O10, IF(LEFT(L10,4)="http", L10, "MACPONTA AGRO DE "&amp;L10)),
  _xlpm.paraBase, IF(M10="CLIENTE", P10, M10),
  _xlpm.paraTxt, IF(LEFT(_xlpm.paraBase,4)="http", _xlpm.paraBase, "MACPONTA AGRO DE "&amp;_xlpm.paraBase),
  _xlpm.nfParte, IF(LEN(TRIM(I10))=0, "", " -NF "&amp;TRIM(I10)),
  "- " &amp; _xlpm.tipotxt &amp; ": *" &amp; G10 &amp; "*" &amp; CHAR(13)&amp;CHAR(10) &amp;
  "- " &amp; _xlpm.dimtxt &amp; CHAR(13)&amp;CHAR(10) &amp;
  "- *Cliente*: " &amp; J10 &amp; _xlpm.nfParte &amp; CHAR(13)&amp;CHAR(10) &amp;
  "- *Obs:* " &amp; Q10 &amp; CHAR(13)&amp;CHAR(10) &amp; CHAR(10) &amp;
  "- *De*: " &amp; _xlpm.deTxt &amp; CHAR(13)&amp;CHAR(10) &amp;
  "- *Para*: " &amp; _xlpm.paraTxt &amp; CHAR(13)&amp;CHAR(10) &amp;
  "- *Ida e volta*: +/- " &amp; TEXT(((D10*1.5)/1440),"h:mm") &amp; "h | " &amp; D10 &amp; "km"
)</f>
        <v>- TRATOR: *1BM5060EES4201594*_x000D_
- _x000D_
- *Cliente*: JOAQUIM MASCARENHAS -NF278279 -NF 45964_x000D_
- *Obs:* PAULO - +55 42 9991-2229 - AVISAR ANGELO PARA ACOMPANHAR_x000D_
- *De*: MACPONTA AGRO DE PONTA GROSSA_x000D_
- *Para*: https://maps.app.goo.gl/s5tPSxgcuWhSkcKc7_x000D_
- *Ida e volta*: +/- 1:24h | 56km</v>
      </c>
    </row>
    <row r="11" spans="1:21" ht="14.4" x14ac:dyDescent="0.3">
      <c r="A11" s="12" t="s">
        <v>105</v>
      </c>
      <c r="B11" s="10" t="s">
        <v>32</v>
      </c>
      <c r="C11" s="97">
        <f t="shared" si="0"/>
        <v>0.19270833333333334</v>
      </c>
      <c r="D11" s="10">
        <v>185</v>
      </c>
      <c r="E11" s="98"/>
      <c r="F11" s="99">
        <v>1295</v>
      </c>
      <c r="G11" s="10" t="s">
        <v>150</v>
      </c>
      <c r="H11" s="100">
        <v>45965</v>
      </c>
      <c r="I11" s="101">
        <v>45965</v>
      </c>
      <c r="J11" s="10" t="s">
        <v>107</v>
      </c>
      <c r="K11" s="10" t="s">
        <v>151</v>
      </c>
      <c r="L11" s="10" t="s">
        <v>109</v>
      </c>
      <c r="M11" s="10" t="s">
        <v>47</v>
      </c>
      <c r="N11" s="12" t="s">
        <v>119</v>
      </c>
      <c r="O11" s="11" t="s">
        <v>152</v>
      </c>
      <c r="P11" s="12" t="s">
        <v>111</v>
      </c>
      <c r="Q11" s="10" t="s">
        <v>153</v>
      </c>
      <c r="R11" s="10" t="s">
        <v>47</v>
      </c>
      <c r="S11" s="10" t="s">
        <v>10</v>
      </c>
      <c r="T11" s="2" t="str">
        <f t="shared" si="1"/>
        <v>5060E</v>
      </c>
      <c r="U11" s="2" t="str" cm="1">
        <f t="array" ref="U11">_xlfn.LET(
  _xlpm.ch, TRIM(SUBSTITUTE(G11,CHAR(160),"")),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IF(L11="CLIENTE", O11, IF(LEFT(L11,4)="http", L11, "MACPONTA AGRO DE "&amp;L11)),
  _xlpm.paraBase, IF(M11="CLIENTE", P11, M11),
  _xlpm.paraTxt, IF(LEFT(_xlpm.paraBase,4)="http", _xlpm.paraBase, "MACPONTA AGRO DE "&amp;_xlpm.paraBase),
  _xlpm.nfParte, IF(LEN(TRIM(I11))=0, "", " -NF "&amp;TRIM(I11)),
  "- " &amp; _xlpm.tipotxt &amp; ": *" &amp; G11 &amp; "*" &amp; CHAR(13)&amp;CHAR(10) &amp;
  "- " &amp; _xlpm.dimtxt &amp; CHAR(13)&amp;CHAR(10) &amp;
  "- *Cliente*: " &amp; J11 &amp; _xlpm.nfParte &amp; CHAR(13)&amp;CHAR(10) &amp;
  "- *Obs:* " &amp; Q11 &amp; CHAR(13)&amp;CHAR(10) &amp; CHAR(10) &amp;
  "- *De*: " &amp; _xlpm.deTxt &amp; CHAR(13)&amp;CHAR(10) &amp;
  "- *Para*: " &amp; _xlpm.paraTxt &amp; CHAR(13)&amp;CHAR(10) &amp;
  "- *Ida e volta*: +/- " &amp; TEXT(((D11*1.5)/1440),"h:mm") &amp; "h | " &amp; D11 &amp; "km"
)</f>
        <v>- TRATOR: *1BM5060EAP4104558*_x000D_
- _x000D_
- *Cliente*: MANUTENÇÃO → CLIENTE -NF 45965_x000D_
- *Obs:* LUCIANO DE FREITAS - 43 99624-6946_x000D_
- *De*: https://maps.app.goo.gl/PXTmMqoYPtx48Gex6_x000D_
- *Para*: MACPONTA AGRO DE ARAPOTI_x000D_
- *Ida e volta*: +/- 4:37h | 185km</v>
      </c>
    </row>
    <row r="12" spans="1:21" ht="14.4" x14ac:dyDescent="0.3">
      <c r="A12" s="12" t="s">
        <v>105</v>
      </c>
      <c r="B12" s="10" t="s">
        <v>85</v>
      </c>
      <c r="C12" s="97">
        <f t="shared" si="0"/>
        <v>5.3124999999999999E-2</v>
      </c>
      <c r="D12" s="10">
        <v>51</v>
      </c>
      <c r="E12" s="98">
        <f>IFERROR((D12*6),"?")</f>
        <v>306</v>
      </c>
      <c r="F12" s="99"/>
      <c r="G12" s="10" t="s">
        <v>154</v>
      </c>
      <c r="H12" s="100">
        <v>45966</v>
      </c>
      <c r="I12" s="101">
        <v>45967</v>
      </c>
      <c r="J12" s="10" t="s">
        <v>107</v>
      </c>
      <c r="K12" s="10" t="s">
        <v>155</v>
      </c>
      <c r="L12" s="10" t="s">
        <v>142</v>
      </c>
      <c r="M12" s="10" t="s">
        <v>109</v>
      </c>
      <c r="N12" s="12" t="s">
        <v>110</v>
      </c>
      <c r="O12" s="10" t="s">
        <v>111</v>
      </c>
      <c r="P12" s="12" t="s">
        <v>156</v>
      </c>
      <c r="Q12" s="10" t="s">
        <v>157</v>
      </c>
      <c r="R12" s="10" t="s">
        <v>142</v>
      </c>
      <c r="S12" s="10" t="s">
        <v>10</v>
      </c>
      <c r="T12" s="2" t="str">
        <f t="shared" si="1"/>
        <v>7215C</v>
      </c>
      <c r="U12" s="2" t="str" cm="1">
        <f t="array" ref="U12">_xlfn.LET(
  _xlpm.ch, TRIM(SUBSTITUTE(G12,CHAR(160),"")),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IF(L12="CLIENTE", O12, IF(LEFT(L12,4)="http", L12, "MACPONTA AGRO DE "&amp;L12)),
  _xlpm.paraBase, IF(M12="CLIENTE", P12, M12),
  _xlpm.paraTxt, IF(LEFT(_xlpm.paraBase,4)="http", _xlpm.paraBase, "MACPONTA AGRO DE "&amp;_xlpm.paraBase),
  _xlpm.nfParte, IF(LEN(TRIM(I12))=0, "", " -NF "&amp;TRIM(I12)),
  "- " &amp; _xlpm.tipotxt &amp; ": *" &amp; G12 &amp; "*" &amp; CHAR(13)&amp;CHAR(10) &amp;
  "- " &amp; _xlpm.dimtxt &amp; CHAR(13)&amp;CHAR(10) &amp;
  "- *Cliente*: " &amp; J12 &amp; _xlpm.nfParte &amp; CHAR(13)&amp;CHAR(10) &amp;
  "- *Obs:* " &amp; Q12 &amp; CHAR(13)&amp;CHAR(10) &amp; CHAR(10) &amp;
  "- *De*: " &amp; _xlpm.deTxt &amp; CHAR(13)&amp;CHAR(10) &amp;
  "- *Para*: " &amp; _xlpm.paraTxt &amp; CHAR(13)&amp;CHAR(10) &amp;
  "- *Ida e volta*: +/- " &amp; TEXT(((D12*1.5)/1440),"h:mm") &amp; "h | " &amp; D12 &amp; "km"
)</f>
        <v>- TRATOR: *1BM7215CVR3000057*_x000D_
- _x000D_
- *Cliente*: MANUTENÇÃO → CLIENTE -NF 45967_x000D_
- *Obs:* GABRIEL - 42 -99972-7464_x000D_
- *De*: MACPONTA AGRO DE PONTA GROSSA_x000D_
- *Para*: https://maps.app.goo.gl/pQZUg9LPg5sgdyLs8_x000D_
- *Ida e volta*: +/- 1:16h | 51km</v>
      </c>
    </row>
    <row r="13" spans="1:21" ht="14.4" x14ac:dyDescent="0.3">
      <c r="A13" s="12" t="s">
        <v>105</v>
      </c>
      <c r="B13" s="10" t="s">
        <v>84</v>
      </c>
      <c r="C13" s="97">
        <f t="shared" si="0"/>
        <v>2.2916666666666665E-2</v>
      </c>
      <c r="D13" s="10">
        <v>22</v>
      </c>
      <c r="E13" s="98">
        <f>IFERROR((D13*6),"?")</f>
        <v>132</v>
      </c>
      <c r="F13" s="99"/>
      <c r="G13" s="10" t="s">
        <v>158</v>
      </c>
      <c r="H13" s="100">
        <v>45966</v>
      </c>
      <c r="I13" s="101">
        <v>45967</v>
      </c>
      <c r="J13" s="10" t="s">
        <v>107</v>
      </c>
      <c r="K13" s="10" t="s">
        <v>159</v>
      </c>
      <c r="L13" s="10" t="s">
        <v>142</v>
      </c>
      <c r="M13" s="10" t="s">
        <v>109</v>
      </c>
      <c r="N13" s="12" t="s">
        <v>110</v>
      </c>
      <c r="O13" s="10" t="s">
        <v>111</v>
      </c>
      <c r="P13" s="12" t="s">
        <v>160</v>
      </c>
      <c r="Q13" s="10" t="s">
        <v>161</v>
      </c>
      <c r="R13" s="10" t="s">
        <v>142</v>
      </c>
      <c r="S13" s="10" t="s">
        <v>9</v>
      </c>
      <c r="T13" s="2" t="str">
        <f t="shared" si="1"/>
        <v>6110</v>
      </c>
      <c r="U13" s="2" t="str" cm="1">
        <f t="array" ref="U13">_xlfn.LET(
  _xlpm.ch, TRIM(SUBSTITUTE(G13,CHAR(160),"")),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IF(L13="CLIENTE", O13, IF(LEFT(L13,4)="http", L13, "MACPONTA AGRO DE "&amp;L13)),
  _xlpm.paraBase, IF(M13="CLIENTE", P13, M13),
  _xlpm.paraTxt, IF(LEFT(_xlpm.paraBase,4)="http", _xlpm.paraBase, "MACPONTA AGRO DE "&amp;_xlpm.paraBase),
  _xlpm.nfParte, IF(LEN(TRIM(I13))=0, "", " -NF "&amp;TRIM(I13)),
  "- " &amp; _xlpm.tipotxt &amp; ": *" &amp; G13 &amp; "*" &amp; CHAR(13)&amp;CHAR(10) &amp;
  "- " &amp; _xlpm.dimtxt &amp; CHAR(13)&amp;CHAR(10) &amp;
  "- *Cliente*: " &amp; J13 &amp; _xlpm.nfParte &amp; CHAR(13)&amp;CHAR(10) &amp;
  "- *Obs:* " &amp; Q13 &amp; CHAR(13)&amp;CHAR(10) &amp; CHAR(10) &amp;
  "- *De*: " &amp; _xlpm.deTxt &amp; CHAR(13)&amp;CHAR(10) &amp;
  "- *Para*: " &amp; _xlpm.paraTxt &amp; CHAR(13)&amp;CHAR(10) &amp;
  "- *Ida e volta*: +/- " &amp; TEXT(((D13*1.5)/1440),"h:mm") &amp; "h | " &amp; D13 &amp; "km"
)</f>
        <v>- : *1P06110DABA021136*_x000D_
- _x000D_
- *Cliente*: MANUTENÇÃO → CLIENTE -NF 45967_x000D_
- *Obs:* JUNIOR +55 42 8866-3271_x000D_
- *De*: MACPONTA AGRO DE PONTA GROSSA_x000D_
- *Para*: https://maps.app.goo.gl/zzmzdRt4m8WXMVjg9_x000D_
- *Ida e volta*: +/- 0:33h | 22km</v>
      </c>
    </row>
    <row r="14" spans="1:21" ht="14.4" x14ac:dyDescent="0.3">
      <c r="A14" s="12" t="s">
        <v>105</v>
      </c>
      <c r="B14" s="10" t="s">
        <v>27</v>
      </c>
      <c r="C14" s="97">
        <f t="shared" si="0"/>
        <v>0.16666666666666666</v>
      </c>
      <c r="D14" s="10">
        <v>160</v>
      </c>
      <c r="E14" s="98"/>
      <c r="F14" s="99">
        <v>1458</v>
      </c>
      <c r="G14" s="10" t="s">
        <v>162</v>
      </c>
      <c r="H14" s="100">
        <v>45966</v>
      </c>
      <c r="I14" s="101">
        <v>45966</v>
      </c>
      <c r="J14" s="10" t="s">
        <v>163</v>
      </c>
      <c r="K14" s="10" t="s">
        <v>124</v>
      </c>
      <c r="L14" s="10" t="s">
        <v>125</v>
      </c>
      <c r="M14" s="10" t="s">
        <v>109</v>
      </c>
      <c r="N14" s="12" t="s">
        <v>110</v>
      </c>
      <c r="O14" s="10" t="s">
        <v>111</v>
      </c>
      <c r="P14" s="12" t="s">
        <v>164</v>
      </c>
      <c r="Q14" s="10" t="s">
        <v>165</v>
      </c>
      <c r="R14" s="10" t="s">
        <v>125</v>
      </c>
      <c r="S14" s="10" t="s">
        <v>10</v>
      </c>
      <c r="T14" s="2" t="str">
        <f t="shared" si="1"/>
        <v>6135M</v>
      </c>
      <c r="U14" s="2" t="str" cm="1">
        <f t="array" ref="U14">_xlfn.LET(
  _xlpm.ch, TRIM(SUBSTITUTE(G14,CHAR(160),"")),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IF(L14="CLIENTE", O14, IF(LEFT(L14,4)="http", L14, "MACPONTA AGRO DE "&amp;L14)),
  _xlpm.paraBase, IF(M14="CLIENTE", P14, M14),
  _xlpm.paraTxt, IF(LEFT(_xlpm.paraBase,4)="http", _xlpm.paraBase, "MACPONTA AGRO DE "&amp;_xlpm.paraBase),
  _xlpm.nfParte, IF(LEN(TRIM(I14))=0, "", " -NF "&amp;TRIM(I14)),
  "- " &amp; _xlpm.tipotxt &amp; ": *" &amp; G14 &amp; "*" &amp; CHAR(13)&amp;CHAR(10) &amp;
  "- " &amp; _xlpm.dimtxt &amp; CHAR(13)&amp;CHAR(10) &amp;
  "- *Cliente*: " &amp; J14 &amp; _xlpm.nfParte &amp; CHAR(13)&amp;CHAR(10) &amp;
  "- *Obs:* " &amp; Q14 &amp; CHAR(13)&amp;CHAR(10) &amp; CHAR(10) &amp;
  "- *De*: " &amp; _xlpm.deTxt &amp; CHAR(13)&amp;CHAR(10) &amp;
  "- *Para*: " &amp; _xlpm.paraTxt &amp; CHAR(13)&amp;CHAR(10) &amp;
  "- *Ida e volta*: +/- " &amp; TEXT(((D14*1.5)/1440),"h:mm") &amp; "h | " &amp; D14 &amp; "km"
)</f>
        <v>- TRATOR: *1BM6135MASH000623*_x000D_
- _x000D_
- *Cliente*: VLADEMIR STORTI -NF107917 -NF 45966_x000D_
- *Obs:* Vladmir_x000D_
- *De*: MACPONTA AGRO DE GUARAPUAVA_x000D_
- *Para*: https://maps.app.goo.gl/giUyNXP6omVdANbb6_x000D_
- *Ida e volta*: +/- 4:00h | 160km</v>
      </c>
    </row>
    <row r="15" spans="1:21" ht="14.4" x14ac:dyDescent="0.3">
      <c r="A15" s="12" t="s">
        <v>105</v>
      </c>
      <c r="B15" s="10" t="s">
        <v>32</v>
      </c>
      <c r="C15" s="97">
        <f t="shared" si="0"/>
        <v>0.13541666666666666</v>
      </c>
      <c r="D15" s="10">
        <v>130</v>
      </c>
      <c r="E15" s="98"/>
      <c r="F15" s="99">
        <v>975</v>
      </c>
      <c r="G15" s="10" t="s">
        <v>166</v>
      </c>
      <c r="H15" s="100">
        <v>45966</v>
      </c>
      <c r="I15" s="101">
        <v>45966</v>
      </c>
      <c r="J15" s="10" t="s">
        <v>167</v>
      </c>
      <c r="K15" s="10" t="s">
        <v>168</v>
      </c>
      <c r="L15" s="10" t="s">
        <v>47</v>
      </c>
      <c r="M15" s="10" t="s">
        <v>109</v>
      </c>
      <c r="N15" s="12" t="s">
        <v>110</v>
      </c>
      <c r="O15" s="10" t="s">
        <v>111</v>
      </c>
      <c r="P15" s="13" t="s">
        <v>169</v>
      </c>
      <c r="Q15" s="10" t="s">
        <v>170</v>
      </c>
      <c r="R15" s="10" t="s">
        <v>47</v>
      </c>
      <c r="S15" s="10" t="s">
        <v>10</v>
      </c>
      <c r="T15" s="2" t="str">
        <f t="shared" si="1"/>
        <v>5080E</v>
      </c>
      <c r="U15" s="2" t="str" cm="1">
        <f t="array" ref="U15">_xlfn.LET(
  _xlpm.ch, TRIM(SUBSTITUTE(G15,CHAR(160),"")),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IF(L15="CLIENTE", O15, IF(LEFT(L15,4)="http", L15, "MACPONTA AGRO DE "&amp;L15)),
  _xlpm.paraBase, IF(M15="CLIENTE", P15, M15),
  _xlpm.paraTxt, IF(LEFT(_xlpm.paraBase,4)="http", _xlpm.paraBase, "MACPONTA AGRO DE "&amp;_xlpm.paraBase),
  _xlpm.nfParte, IF(LEN(TRIM(I15))=0, "", " -NF "&amp;TRIM(I15)),
  "- " &amp; _xlpm.tipotxt &amp; ": *" &amp; G15 &amp; "*" &amp; CHAR(13)&amp;CHAR(10) &amp;
  "- " &amp; _xlpm.dimtxt &amp; CHAR(13)&amp;CHAR(10) &amp;
  "- *Cliente*: " &amp; J15 &amp; _xlpm.nfParte &amp; CHAR(13)&amp;CHAR(10) &amp;
  "- *Obs:* " &amp; Q15 &amp; CHAR(13)&amp;CHAR(10) &amp; CHAR(10) &amp;
  "- *De*: " &amp; _xlpm.deTxt &amp; CHAR(13)&amp;CHAR(10) &amp;
  "- *Para*: " &amp; _xlpm.paraTxt &amp; CHAR(13)&amp;CHAR(10) &amp;
  "- *Ida e volta*: +/- " &amp; TEXT(((D15*1.5)/1440),"h:mm") &amp; "h | " &amp; D15 &amp; "km"
)</f>
        <v>- TRATOR: *1BM5080EKS4203735*_x000D_
- _x000D_
- *Cliente*: VERIDIANA POSS DE LIMA -NF61217 -NF 45966_x000D_
- *Obs:* Veridiana 043984053787 -CEN Alison Russi_x000D_
- *De*: MACPONTA AGRO DE ARAPOTI_x000D_
- *Para*: https://maps.app.goo.gl/oLpnxFw9huVdueSf7_x000D_
- *Ida e volta*: +/- 3:15h | 130km</v>
      </c>
    </row>
    <row r="16" spans="1:21" ht="14.4" x14ac:dyDescent="0.3">
      <c r="A16" s="12" t="s">
        <v>171</v>
      </c>
      <c r="B16" s="10" t="s">
        <v>85</v>
      </c>
      <c r="C16" s="97">
        <f t="shared" si="0"/>
        <v>0.15625</v>
      </c>
      <c r="D16" s="10">
        <v>150</v>
      </c>
      <c r="E16" s="98">
        <v>500</v>
      </c>
      <c r="F16" s="99"/>
      <c r="G16" s="10" t="s">
        <v>172</v>
      </c>
      <c r="H16" s="100">
        <v>45966</v>
      </c>
      <c r="I16" s="101">
        <v>45966</v>
      </c>
      <c r="J16" s="10" t="s">
        <v>173</v>
      </c>
      <c r="K16" s="10" t="s">
        <v>147</v>
      </c>
      <c r="L16" s="10" t="s">
        <v>142</v>
      </c>
      <c r="M16" s="10" t="s">
        <v>109</v>
      </c>
      <c r="N16" s="12" t="s">
        <v>110</v>
      </c>
      <c r="O16" s="10" t="s">
        <v>111</v>
      </c>
      <c r="P16" s="12" t="s">
        <v>174</v>
      </c>
      <c r="Q16" s="10" t="s">
        <v>175</v>
      </c>
      <c r="R16" s="10" t="s">
        <v>142</v>
      </c>
      <c r="S16" s="10" t="s">
        <v>8</v>
      </c>
      <c r="T16" s="2" t="str">
        <f t="shared" si="1"/>
        <v>0630</v>
      </c>
      <c r="U16" s="2" t="str" cm="1">
        <f t="array" ref="U16">_xlfn.LET(
  _xlpm.ch, TRIM(SUBSTITUTE(G16,CHAR(160),"")),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IF(L16="CLIENTE", O16, IF(LEFT(L16,4)="http", L16, "MACPONTA AGRO DE "&amp;L16)),
  _xlpm.paraBase, IF(M16="CLIENTE", P16, M16),
  _xlpm.paraTxt, IF(LEFT(_xlpm.paraBase,4)="http", _xlpm.paraBase, "MACPONTA AGRO DE "&amp;_xlpm.paraBase),
  _xlpm.nfParte, IF(LEN(TRIM(I16))=0, "", " -NF "&amp;TRIM(I16)),
  "- " &amp; _xlpm.tipotxt &amp; ": *" &amp; G16 &amp; "*" &amp; CHAR(13)&amp;CHAR(10) &amp;
  "- " &amp; _xlpm.dimtxt &amp; CHAR(13)&amp;CHAR(10) &amp;
  "- *Cliente*: " &amp; J16 &amp; _xlpm.nfParte &amp; CHAR(13)&amp;CHAR(10) &amp;
  "- *Obs:* " &amp; Q16 &amp; CHAR(13)&amp;CHAR(10) &amp; CHAR(10) &amp;
  "- *De*: " &amp; _xlpm.deTxt &amp; CHAR(13)&amp;CHAR(10) &amp;
  "- *Para*: " &amp; _xlpm.paraTxt &amp; CHAR(13)&amp;CHAR(10) &amp;
  "- *Ida e volta*: +/- " &amp; TEXT(((D16*1.5)/1440),"h:mm") &amp; "h | " &amp; D16 &amp; "km"
)</f>
        <v>- PLATAFORMA: *1CQ0630AHR0155127*_x000D_
- A:1,60 x C:9,14 x L:1,80-1,80 x P:2.871kg_x000D_
- *Cliente*: MARCELO RIBEIRO DE NARDI -NF278794 -NF 45966_x000D_
- *Obs:* DANILO - MARCELO _x000D_
- *De*: MACPONTA AGRO DE PONTA GROSSA_x000D_
- *Para*: https://maps.app.goo.gl/2DJawZBMR4yqycss9_x000D_
- *Ida e volta*: +/- 3:45h | 150km</v>
      </c>
    </row>
    <row r="17" spans="1:21" ht="14.4" x14ac:dyDescent="0.3">
      <c r="A17" s="12" t="s">
        <v>171</v>
      </c>
      <c r="B17" s="10" t="s">
        <v>85</v>
      </c>
      <c r="C17" s="97">
        <f t="shared" si="0"/>
        <v>0.15625</v>
      </c>
      <c r="D17" s="10">
        <v>150</v>
      </c>
      <c r="E17" s="98">
        <v>500</v>
      </c>
      <c r="F17" s="99"/>
      <c r="G17" s="10" t="s">
        <v>176</v>
      </c>
      <c r="H17" s="100">
        <v>45966</v>
      </c>
      <c r="I17" s="101">
        <v>45966</v>
      </c>
      <c r="J17" s="10" t="s">
        <v>173</v>
      </c>
      <c r="K17" s="10" t="s">
        <v>147</v>
      </c>
      <c r="L17" s="10" t="s">
        <v>142</v>
      </c>
      <c r="M17" s="10" t="s">
        <v>109</v>
      </c>
      <c r="N17" s="12" t="s">
        <v>110</v>
      </c>
      <c r="O17" s="10" t="s">
        <v>111</v>
      </c>
      <c r="P17" s="12" t="s">
        <v>174</v>
      </c>
      <c r="Q17" s="10" t="s">
        <v>175</v>
      </c>
      <c r="R17" s="10" t="s">
        <v>142</v>
      </c>
      <c r="S17" s="10" t="s">
        <v>6</v>
      </c>
      <c r="T17" s="2" t="str">
        <f t="shared" si="1"/>
        <v>S550</v>
      </c>
      <c r="U17" s="2" t="str" cm="1">
        <f t="array" ref="U17">_xlfn.LET(
  _xlpm.ch, TRIM(SUBSTITUTE(G17,CHAR(160),"")),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IF(L17="CLIENTE", O17, IF(LEFT(L17,4)="http", L17, "MACPONTA AGRO DE "&amp;L17)),
  _xlpm.paraBase, IF(M17="CLIENTE", P17, M17),
  _xlpm.paraTxt, IF(LEFT(_xlpm.paraBase,4)="http", _xlpm.paraBase, "MACPONTA AGRO DE "&amp;_xlpm.paraBase),
  _xlpm.nfParte, IF(LEN(TRIM(I17))=0, "", " -NF "&amp;TRIM(I17)),
  "- " &amp; _xlpm.tipotxt &amp; ": *" &amp; G17 &amp; "*" &amp; CHAR(13)&amp;CHAR(10) &amp;
  "- " &amp; _xlpm.dimtxt &amp; CHAR(13)&amp;CHAR(10) &amp;
  "- *Cliente*: " &amp; J17 &amp; _xlpm.nfParte &amp; CHAR(13)&amp;CHAR(10) &amp;
  "- *Obs:* " &amp; Q17 &amp; CHAR(13)&amp;CHAR(10) &amp; CHAR(10) &amp;
  "- *De*: " &amp; _xlpm.deTxt &amp; CHAR(13)&amp;CHAR(10) &amp;
  "- *Para*: " &amp; _xlpm.paraTxt &amp; CHAR(13)&amp;CHAR(10) &amp;
  "- *Ida e volta*: +/- " &amp; TEXT(((D17*1.5)/1440),"h:mm") &amp; "h | " &amp; D17 &amp; "km"
)</f>
        <v>- COLHEITADEIRA: *1CQS550AER0155105*_x000D_
- A:3,80 x C:10,00 x L:3,70-4,20 x P:15.938kg_x000D_
- *Cliente*: MARCELO RIBEIRO DE NARDI -NF278794 -NF 45966_x000D_
- *Obs:* DANILO - MARCELO _x000D_
- *De*: MACPONTA AGRO DE PONTA GROSSA_x000D_
- *Para*: https://maps.app.goo.gl/2DJawZBMR4yqycss9_x000D_
- *Ida e volta*: +/- 3:45h | 150km</v>
      </c>
    </row>
    <row r="18" spans="1:21" ht="14.4" x14ac:dyDescent="0.3">
      <c r="A18" s="12" t="s">
        <v>105</v>
      </c>
      <c r="B18" s="10" t="s">
        <v>84</v>
      </c>
      <c r="C18" s="97">
        <f t="shared" si="0"/>
        <v>0.25520833333333331</v>
      </c>
      <c r="D18" s="10">
        <v>245</v>
      </c>
      <c r="E18" s="98">
        <f>IFERROR((D18*6),"?")</f>
        <v>1470</v>
      </c>
      <c r="F18" s="99"/>
      <c r="G18" s="10" t="s">
        <v>177</v>
      </c>
      <c r="H18" s="100">
        <v>45967</v>
      </c>
      <c r="I18" s="101">
        <v>45967</v>
      </c>
      <c r="J18" s="10" t="s">
        <v>178</v>
      </c>
      <c r="K18" s="10" t="s">
        <v>179</v>
      </c>
      <c r="L18" s="10" t="s">
        <v>49</v>
      </c>
      <c r="M18" s="10" t="s">
        <v>109</v>
      </c>
      <c r="N18" s="12" t="s">
        <v>110</v>
      </c>
      <c r="O18" s="10" t="s">
        <v>111</v>
      </c>
      <c r="P18" s="13" t="s">
        <v>180</v>
      </c>
      <c r="Q18" s="10" t="s">
        <v>181</v>
      </c>
      <c r="R18" s="10" t="s">
        <v>49</v>
      </c>
      <c r="S18" s="10" t="s">
        <v>10</v>
      </c>
      <c r="T18" s="2" t="str">
        <f t="shared" si="1"/>
        <v>6135M</v>
      </c>
      <c r="U18" s="2" t="str" cm="1">
        <f t="array" ref="U18">_xlfn.LET(
  _xlpm.ch, TRIM(SUBSTITUTE(G18,CHAR(160),"")),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IF(L18="CLIENTE", O18, IF(LEFT(L18,4)="http", L18, "MACPONTA AGRO DE "&amp;L18)),
  _xlpm.paraBase, IF(M18="CLIENTE", P18, M18),
  _xlpm.paraTxt, IF(LEFT(_xlpm.paraBase,4)="http", _xlpm.paraBase, "MACPONTA AGRO DE "&amp;_xlpm.paraBase),
  _xlpm.nfParte, IF(LEN(TRIM(I18))=0, "", " -NF "&amp;TRIM(I18)),
  "- " &amp; _xlpm.tipotxt &amp; ": *" &amp; G18 &amp; "*" &amp; CHAR(13)&amp;CHAR(10) &amp;
  "- " &amp; _xlpm.dimtxt &amp; CHAR(13)&amp;CHAR(10) &amp;
  "- *Cliente*: " &amp; J18 &amp; _xlpm.nfParte &amp; CHAR(13)&amp;CHAR(10) &amp;
  "- *Obs:* " &amp; Q18 &amp; CHAR(13)&amp;CHAR(10) &amp; CHAR(10) &amp;
  "- *De*: " &amp; _xlpm.deTxt &amp; CHAR(13)&amp;CHAR(10) &amp;
  "- *Para*: " &amp; _xlpm.paraTxt &amp; CHAR(13)&amp;CHAR(10) &amp;
  "- *Ida e volta*: +/- " &amp; TEXT(((D18*1.5)/1440),"h:mm") &amp; "h | " &amp; D18 &amp; "km"
)</f>
        <v>- TRATOR: *1BM6135MCSH000563*_x000D_
- _x000D_
- *Cliente*: WILLEM HENDRIK VAN DE RIET -NF109953 -NF 45967_x000D_
- *Obs:* (42)999730047 Willen _x000D_
- *De*: MACPONTA AGRO DE IRATI_x000D_
- *Para*: https://maps.app.goo.gl/B5W3gFAkVjKrxcms8_x000D_
- *Ida e volta*: +/- 6:07h | 245km</v>
      </c>
    </row>
    <row r="19" spans="1:21" ht="14.4" x14ac:dyDescent="0.3">
      <c r="A19" s="12" t="s">
        <v>105</v>
      </c>
      <c r="B19" s="10" t="s">
        <v>85</v>
      </c>
      <c r="C19" s="97">
        <f t="shared" si="0"/>
        <v>0.18229166666666666</v>
      </c>
      <c r="D19" s="10">
        <v>175</v>
      </c>
      <c r="E19" s="98">
        <f>IFERROR((D19*6),"?")</f>
        <v>1050</v>
      </c>
      <c r="F19" s="99"/>
      <c r="G19" s="10" t="s">
        <v>182</v>
      </c>
      <c r="H19" s="100">
        <v>45968</v>
      </c>
      <c r="I19" s="101">
        <v>45969</v>
      </c>
      <c r="J19" s="10" t="s">
        <v>183</v>
      </c>
      <c r="K19" s="10" t="s">
        <v>155</v>
      </c>
      <c r="L19" s="10" t="s">
        <v>142</v>
      </c>
      <c r="M19" s="10" t="s">
        <v>109</v>
      </c>
      <c r="N19" s="12" t="s">
        <v>110</v>
      </c>
      <c r="O19" s="10" t="s">
        <v>111</v>
      </c>
      <c r="P19" s="12" t="s">
        <v>184</v>
      </c>
      <c r="Q19" s="10" t="s">
        <v>185</v>
      </c>
      <c r="R19" s="10" t="s">
        <v>142</v>
      </c>
      <c r="S19" s="10" t="s">
        <v>6</v>
      </c>
      <c r="T19" s="2" t="str">
        <f t="shared" si="1"/>
        <v>S680</v>
      </c>
      <c r="U19" s="2" t="str" cm="1">
        <f t="array" ref="U19">_xlfn.LET(
  _xlpm.ch, TRIM(SUBSTITUTE(G19,CHAR(160),"")),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TRIM(SUBSTITUTE(T19,CHAR(160),"")),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IF(L19="CLIENTE", O19, IF(LEFT(L19,4)="http", L19, "MACPONTA AGRO DE "&amp;L19)),
  _xlpm.paraBase, IF(M19="CLIENTE", P19, M19),
  _xlpm.paraTxt, IF(LEFT(_xlpm.paraBase,4)="http", _xlpm.paraBase, "MACPONTA AGRO DE "&amp;_xlpm.paraBase),
  _xlpm.nfParte, IF(LEN(TRIM(I19))=0, "", " -NF "&amp;TRIM(I19)),
  "- " &amp; _xlpm.tipotxt &amp; ": *" &amp; G19 &amp; "*" &amp; CHAR(13)&amp;CHAR(10) &amp;
  "- " &amp; _xlpm.dimtxt &amp; CHAR(13)&amp;CHAR(10) &amp;
  "- *Cliente*: " &amp; J19 &amp; _xlpm.nfParte &amp; CHAR(13)&amp;CHAR(10) &amp;
  "- *Obs:* " &amp; Q19 &amp; CHAR(13)&amp;CHAR(10) &amp; CHAR(10) &amp;
  "- *De*: " &amp; _xlpm.deTxt &amp; CHAR(13)&amp;CHAR(10) &amp;
  "- *Para*: " &amp; _xlpm.paraTxt &amp; CHAR(13)&amp;CHAR(10) &amp;
  "- *Ida e volta*: +/- " &amp; TEXT(((D19*1.5)/1440),"h:mm") &amp; "h | " &amp; D19 &amp; "km"
)</f>
        <v>- COLHEITADEIRA: *1CQS680ATF0110209*_x000D_
- A:3,98 x C:12,10 x L:3,50-5,43 x P:21.921kg_x000D_
- *Cliente*: DOUGLAS FANCHIN TAQUES FONSECA -NF278835 -NF 45969_x000D_
- *Obs:* VALTINHO 42-99920-3056_x000D_
- *De*: MACPONTA AGRO DE PONTA GROSSA_x000D_
- *Para*: https://maps.app.goo.gl/GfTKV558G2iXHWmg8_x000D_
- *Ida e volta*: +/- 4:22h | 175km</v>
      </c>
    </row>
    <row r="20" spans="1:21" ht="14.4" x14ac:dyDescent="0.3">
      <c r="A20" s="12" t="s">
        <v>105</v>
      </c>
      <c r="B20" s="10" t="s">
        <v>85</v>
      </c>
      <c r="C20" s="97">
        <f t="shared" si="0"/>
        <v>0.18229166666666666</v>
      </c>
      <c r="D20" s="10">
        <v>175</v>
      </c>
      <c r="E20" s="98">
        <f>IFERROR((D20*6),"?")</f>
        <v>1050</v>
      </c>
      <c r="F20" s="99"/>
      <c r="G20" s="10" t="s">
        <v>186</v>
      </c>
      <c r="H20" s="100">
        <v>45968</v>
      </c>
      <c r="I20" s="101">
        <v>45968</v>
      </c>
      <c r="J20" s="10" t="s">
        <v>107</v>
      </c>
      <c r="K20" s="10" t="s">
        <v>187</v>
      </c>
      <c r="L20" s="10" t="s">
        <v>142</v>
      </c>
      <c r="M20" s="10" t="s">
        <v>109</v>
      </c>
      <c r="N20" s="12" t="s">
        <v>110</v>
      </c>
      <c r="O20" s="10" t="s">
        <v>111</v>
      </c>
      <c r="P20" s="13" t="s">
        <v>188</v>
      </c>
      <c r="Q20" s="10" t="s">
        <v>189</v>
      </c>
      <c r="R20" s="10" t="s">
        <v>142</v>
      </c>
      <c r="S20" s="10" t="s">
        <v>10</v>
      </c>
      <c r="T20" s="2" t="str">
        <f t="shared" si="1"/>
        <v>6180J</v>
      </c>
      <c r="U20" s="2" t="str" cm="1">
        <f t="array" ref="U20">_xlfn.LET(
  _xlpm.ch, TRIM(SUBSTITUTE(G20,CHAR(160),"")),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IF(L20="CLIENTE", O20, IF(LEFT(L20,4)="http", L20, "MACPONTA AGRO DE "&amp;L20)),
  _xlpm.paraBase, IF(M20="CLIENTE", P20, M20),
  _xlpm.paraTxt, IF(LEFT(_xlpm.paraBase,4)="http", _xlpm.paraBase, "MACPONTA AGRO DE "&amp;_xlpm.paraBase),
  _xlpm.nfParte, IF(LEN(TRIM(I20))=0, "", " -NF "&amp;TRIM(I20)),
  "- " &amp; _xlpm.tipotxt &amp; ": *" &amp; G20 &amp; "*" &amp; CHAR(13)&amp;CHAR(10) &amp;
  "- " &amp; _xlpm.dimtxt &amp; CHAR(13)&amp;CHAR(10) &amp;
  "- *Cliente*: " &amp; J20 &amp; _xlpm.nfParte &amp; CHAR(13)&amp;CHAR(10) &amp;
  "- *Obs:* " &amp; Q20 &amp; CHAR(13)&amp;CHAR(10) &amp; CHAR(10) &amp;
  "- *De*: " &amp; _xlpm.deTxt &amp; CHAR(13)&amp;CHAR(10) &amp;
  "- *Para*: " &amp; _xlpm.paraTxt &amp; CHAR(13)&amp;CHAR(10) &amp;
  "- *Ida e volta*: +/- " &amp; TEXT(((D20*1.5)/1440),"h:mm") &amp; "h | " &amp; D20 &amp; "km"
)</f>
        <v>- TRATOR: *1BM6180JKDD001849*_x000D_
- _x000D_
- *Cliente*: MANUTENÇÃO → CLIENTE -NF 45968_x000D_
- *Obs:* Cassio_x000D_
- *De*: MACPONTA AGRO DE PONTA GROSSA_x000D_
- *Para*: https://maps.app.goo.gl/Yk2FrxveQ1BNpLmN8_x000D_
- *Ida e volta*: +/- 4:22h | 175km</v>
      </c>
    </row>
    <row r="21" spans="1:21" ht="14.4" x14ac:dyDescent="0.3">
      <c r="A21" s="12" t="s">
        <v>105</v>
      </c>
      <c r="B21" s="10" t="s">
        <v>27</v>
      </c>
      <c r="C21" s="97">
        <f t="shared" si="0"/>
        <v>0.34375</v>
      </c>
      <c r="D21" s="10">
        <v>330</v>
      </c>
      <c r="E21" s="98"/>
      <c r="F21" s="99">
        <v>2890</v>
      </c>
      <c r="G21" s="10" t="s">
        <v>190</v>
      </c>
      <c r="H21" s="100">
        <v>45968</v>
      </c>
      <c r="I21" s="101">
        <v>45968</v>
      </c>
      <c r="J21" s="10" t="s">
        <v>191</v>
      </c>
      <c r="K21" s="10" t="s">
        <v>124</v>
      </c>
      <c r="L21" s="10" t="s">
        <v>125</v>
      </c>
      <c r="M21" s="10" t="s">
        <v>109</v>
      </c>
      <c r="N21" s="12" t="s">
        <v>110</v>
      </c>
      <c r="O21" s="10" t="s">
        <v>111</v>
      </c>
      <c r="P21" s="12" t="s">
        <v>192</v>
      </c>
      <c r="Q21" s="10" t="s">
        <v>193</v>
      </c>
      <c r="R21" s="10" t="s">
        <v>125</v>
      </c>
      <c r="S21" s="10" t="s">
        <v>10</v>
      </c>
      <c r="T21" s="2" t="str">
        <f t="shared" si="1"/>
        <v>6100J</v>
      </c>
      <c r="U21" s="2" t="str" cm="1">
        <f t="array" ref="U21">_xlfn.LET(
  _xlpm.ch, TRIM(SUBSTITUTE(G21,CHAR(160),"")),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IF(L21="CLIENTE", O21, IF(LEFT(L21,4)="http", L21, "MACPONTA AGRO DE "&amp;L21)),
  _xlpm.paraBase, IF(M21="CLIENTE", P21, M21),
  _xlpm.paraTxt, IF(LEFT(_xlpm.paraBase,4)="http", _xlpm.paraBase, "MACPONTA AGRO DE "&amp;_xlpm.paraBase),
  _xlpm.nfParte, IF(LEN(TRIM(I21))=0, "", " -NF "&amp;TRIM(I21)),
  "- " &amp; _xlpm.tipotxt &amp; ": *" &amp; G21 &amp; "*" &amp; CHAR(13)&amp;CHAR(10) &amp;
  "- " &amp; _xlpm.dimtxt &amp; CHAR(13)&amp;CHAR(10) &amp;
  "- *Cliente*: " &amp; J21 &amp; _xlpm.nfParte &amp; CHAR(13)&amp;CHAR(10) &amp;
  "- *Obs:* " &amp; Q21 &amp; CHAR(13)&amp;CHAR(10) &amp; CHAR(10) &amp;
  "- *De*: " &amp; _xlpm.deTxt &amp; CHAR(13)&amp;CHAR(10) &amp;
  "- *Para*: " &amp; _xlpm.paraTxt &amp; CHAR(13)&amp;CHAR(10) &amp;
  "- *Ida e volta*: +/- " &amp; TEXT(((D21*1.5)/1440),"h:mm") &amp; "h | " &amp; D21 &amp; "km"
)</f>
        <v>- TRATOR: *1BM6100JVSD602522*_x000D_
- _x000D_
- *Cliente*: ADILSON KRASSOSKI -NF11620  -NF 45968_x000D_
- *Obs:* Adilson_x000D_
- *De*: MACPONTA AGRO DE GUARAPUAVA_x000D_
- *Para*: https://maps.app.goo.gl/nUnfbBeivgDPDFmy6_x000D_
- *Ida e volta*: +/- 8:15h | 330km</v>
      </c>
    </row>
    <row r="22" spans="1:21" ht="14.4" x14ac:dyDescent="0.3">
      <c r="A22" s="12" t="s">
        <v>105</v>
      </c>
      <c r="B22" s="10" t="s">
        <v>85</v>
      </c>
      <c r="C22" s="97">
        <f t="shared" si="0"/>
        <v>0.33854166666666669</v>
      </c>
      <c r="D22" s="10">
        <v>325</v>
      </c>
      <c r="E22" s="98">
        <f>IFERROR((D22*6),"?")</f>
        <v>1950</v>
      </c>
      <c r="F22" s="99"/>
      <c r="G22" s="10" t="s">
        <v>194</v>
      </c>
      <c r="H22" s="100">
        <v>45972</v>
      </c>
      <c r="I22" s="101">
        <v>45972</v>
      </c>
      <c r="J22" s="10" t="s">
        <v>195</v>
      </c>
      <c r="K22" s="10" t="s">
        <v>136</v>
      </c>
      <c r="L22" s="10" t="s">
        <v>49</v>
      </c>
      <c r="M22" s="10" t="s">
        <v>196</v>
      </c>
      <c r="N22" s="12" t="s">
        <v>197</v>
      </c>
      <c r="O22" s="10" t="s">
        <v>111</v>
      </c>
      <c r="P22" s="12" t="s">
        <v>111</v>
      </c>
      <c r="Q22" s="10" t="s">
        <v>198</v>
      </c>
      <c r="R22" s="10" t="s">
        <v>49</v>
      </c>
      <c r="S22" s="10" t="s">
        <v>6</v>
      </c>
      <c r="T22" s="2" t="str">
        <f t="shared" si="1"/>
        <v>P111</v>
      </c>
      <c r="U22" s="2" t="str" cm="1">
        <f t="array" ref="U22">_xlfn.LET(
  _xlpm.ch, TRIM(SUBSTITUTE(G22,CHAR(160),"")),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IF(L22="CLIENTE", O22, IF(LEFT(L22,4)="http", L22, "MACPONTA AGRO DE "&amp;L22)),
  _xlpm.paraBase, IF(M22="CLIENTE", P22, M22),
  _xlpm.paraTxt, IF(LEFT(_xlpm.paraBase,4)="http", _xlpm.paraBase, "MACPONTA AGRO DE "&amp;_xlpm.paraBase),
  _xlpm.nfParte, IF(LEN(TRIM(I22))=0, "", " -NF "&amp;TRIM(I22)),
  "- " &amp; _xlpm.tipotxt &amp; ": *" &amp; G22 &amp; "*" &amp; CHAR(13)&amp;CHAR(10) &amp;
  "- " &amp; _xlpm.dimtxt &amp; CHAR(13)&amp;CHAR(10) &amp;
  "- *Cliente*: " &amp; J22 &amp; _xlpm.nfParte &amp; CHAR(13)&amp;CHAR(10) &amp;
  "- *Obs:* " &amp; Q22 &amp; CHAR(13)&amp;CHAR(10) &amp; CHAR(10) &amp;
  "- *De*: " &amp; _xlpm.deTxt &amp; CHAR(13)&amp;CHAR(10) &amp;
  "- *Para*: " &amp; _xlpm.paraTxt &amp; CHAR(13)&amp;CHAR(10) &amp;
  "- *Ida e volta*: +/- " &amp; TEXT(((D22*1.5)/1440),"h:mm") &amp; "h | " &amp; D22 &amp; "km"
)</f>
        <v>- : *AAAP1112CGS000944*_x000D_
- _x000D_
- *Cliente*: TRANSF -NF000076886 -NF 45972_x000D_
- *Obs:* N/A_x000D_
- *De*: MACPONTA AGRO DE IRATI_x000D_
- *Para*: MACPONTA AGRO DE PRUDENTÓPOLIS_x000D_
- *Ida e volta*: +/- 8:07h | 325km</v>
      </c>
    </row>
    <row r="23" spans="1:21" ht="14.4" x14ac:dyDescent="0.3">
      <c r="A23" s="12" t="s">
        <v>105</v>
      </c>
      <c r="B23" s="10" t="s">
        <v>85</v>
      </c>
      <c r="C23" s="97">
        <f t="shared" si="0"/>
        <v>0.265625</v>
      </c>
      <c r="D23" s="10">
        <v>255</v>
      </c>
      <c r="E23" s="98">
        <f>IFERROR((D23*6),"?")</f>
        <v>1530</v>
      </c>
      <c r="F23" s="99"/>
      <c r="G23" s="10" t="s">
        <v>199</v>
      </c>
      <c r="H23" s="100">
        <v>45972</v>
      </c>
      <c r="I23" s="101">
        <v>45972</v>
      </c>
      <c r="J23" s="10" t="s">
        <v>200</v>
      </c>
      <c r="K23" s="10" t="s">
        <v>136</v>
      </c>
      <c r="L23" s="10" t="s">
        <v>49</v>
      </c>
      <c r="M23" s="10" t="s">
        <v>196</v>
      </c>
      <c r="N23" s="12" t="s">
        <v>197</v>
      </c>
      <c r="O23" s="10" t="s">
        <v>111</v>
      </c>
      <c r="P23" s="12" t="s">
        <v>111</v>
      </c>
      <c r="Q23" s="10" t="s">
        <v>198</v>
      </c>
      <c r="R23" s="10" t="s">
        <v>49</v>
      </c>
      <c r="S23" s="10" t="s">
        <v>10</v>
      </c>
      <c r="T23" s="2" t="str">
        <f t="shared" si="1"/>
        <v>5078E</v>
      </c>
      <c r="U23" s="2" t="str" cm="1">
        <f t="array" ref="U23">_xlfn.LET(
  _xlpm.ch, TRIM(SUBSTITUTE(G23,CHAR(160),"")),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IF(L23="CLIENTE", O23, IF(LEFT(L23,4)="http", L23, "MACPONTA AGRO DE "&amp;L23)),
  _xlpm.paraBase, IF(M23="CLIENTE", P23, M23),
  _xlpm.paraTxt, IF(LEFT(_xlpm.paraBase,4)="http", _xlpm.paraBase, "MACPONTA AGRO DE "&amp;_xlpm.paraBase),
  _xlpm.nfParte, IF(LEN(TRIM(I23))=0, "", " -NF "&amp;TRIM(I23)),
  "- " &amp; _xlpm.tipotxt &amp; ": *" &amp; G23 &amp; "*" &amp; CHAR(13)&amp;CHAR(10) &amp;
  "- " &amp; _xlpm.dimtxt &amp; CHAR(13)&amp;CHAR(10) &amp;
  "- *Cliente*: " &amp; J23 &amp; _xlpm.nfParte &amp; CHAR(13)&amp;CHAR(10) &amp;
  "- *Obs:* " &amp; Q23 &amp; CHAR(13)&amp;CHAR(10) &amp; CHAR(10) &amp;
  "- *De*: " &amp; _xlpm.deTxt &amp; CHAR(13)&amp;CHAR(10) &amp;
  "- *Para*: " &amp; _xlpm.paraTxt &amp; CHAR(13)&amp;CHAR(10) &amp;
  "- *Ida e volta*: +/- " &amp; TEXT(((D23*1.5)/1440),"h:mm") &amp; "h | " &amp; D23 &amp; "km"
)</f>
        <v>- TRATOR: *1BM5078EHS4200616*_x000D_
- _x000D_
- *Cliente*: TRANSF -NF000076884 -NF 45972_x000D_
- *Obs:* N/A_x000D_
- *De*: MACPONTA AGRO DE IRATI_x000D_
- *Para*: MACPONTA AGRO DE PRUDENTÓPOLIS_x000D_
- *Ida e volta*: +/- 6:22h | 255km</v>
      </c>
    </row>
    <row r="24" spans="1:21" ht="14.4" x14ac:dyDescent="0.3">
      <c r="A24" s="12" t="s">
        <v>105</v>
      </c>
      <c r="B24" s="10" t="s">
        <v>85</v>
      </c>
      <c r="C24" s="97">
        <f t="shared" si="0"/>
        <v>0.265625</v>
      </c>
      <c r="D24" s="10">
        <v>255</v>
      </c>
      <c r="E24" s="98">
        <f>IFERROR((D24*6),"?")</f>
        <v>1530</v>
      </c>
      <c r="F24" s="99"/>
      <c r="G24" s="10" t="s">
        <v>201</v>
      </c>
      <c r="H24" s="100">
        <v>45972</v>
      </c>
      <c r="I24" s="101">
        <v>45972</v>
      </c>
      <c r="J24" s="10" t="s">
        <v>200</v>
      </c>
      <c r="K24" s="10" t="s">
        <v>136</v>
      </c>
      <c r="L24" s="10" t="s">
        <v>49</v>
      </c>
      <c r="M24" s="10" t="s">
        <v>196</v>
      </c>
      <c r="N24" s="12" t="s">
        <v>197</v>
      </c>
      <c r="O24" s="10" t="s">
        <v>111</v>
      </c>
      <c r="P24" s="12" t="s">
        <v>111</v>
      </c>
      <c r="Q24" s="10" t="s">
        <v>198</v>
      </c>
      <c r="R24" s="10" t="s">
        <v>49</v>
      </c>
      <c r="S24" s="10" t="s">
        <v>10</v>
      </c>
      <c r="T24" s="2" t="str">
        <f t="shared" si="1"/>
        <v>6150J</v>
      </c>
      <c r="U24" s="2" t="str" cm="1">
        <f t="array" ref="U24">_xlfn.LET(
  _xlpm.ch, TRIM(SUBSTITUTE(G24,CHAR(160),"")),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IF(L24="CLIENTE", O24, IF(LEFT(L24,4)="http", L24, "MACPONTA AGRO DE "&amp;L24)),
  _xlpm.paraBase, IF(M24="CLIENTE", P24, M24),
  _xlpm.paraTxt, IF(LEFT(_xlpm.paraBase,4)="http", _xlpm.paraBase, "MACPONTA AGRO DE "&amp;_xlpm.paraBase),
  _xlpm.nfParte, IF(LEN(TRIM(I24))=0, "", " -NF "&amp;TRIM(I24)),
  "- " &amp; _xlpm.tipotxt &amp; ": *" &amp; G24 &amp; "*" &amp; CHAR(13)&amp;CHAR(10) &amp;
  "- " &amp; _xlpm.dimtxt &amp; CHAR(13)&amp;CHAR(10) &amp;
  "- *Cliente*: " &amp; J24 &amp; _xlpm.nfParte &amp; CHAR(13)&amp;CHAR(10) &amp;
  "- *Obs:* " &amp; Q24 &amp; CHAR(13)&amp;CHAR(10) &amp; CHAR(10) &amp;
  "- *De*: " &amp; _xlpm.deTxt &amp; CHAR(13)&amp;CHAR(10) &amp;
  "- *Para*: " &amp; _xlpm.paraTxt &amp; CHAR(13)&amp;CHAR(10) &amp;
  "- *Ida e volta*: +/- " &amp; TEXT(((D24*1.5)/1440),"h:mm") &amp; "h | " &amp; D24 &amp; "km"
)</f>
        <v>- TRATOR: *1BM6150JCSD642412*_x000D_
- _x000D_
- *Cliente*: TRANSF -NF000076884 -NF 45972_x000D_
- *Obs:* N/A_x000D_
- *De*: MACPONTA AGRO DE IRATI_x000D_
- *Para*: MACPONTA AGRO DE PRUDENTÓPOLIS_x000D_
- *Ida e volta*: +/- 6:22h | 255km</v>
      </c>
    </row>
    <row r="25" spans="1:21" ht="14.4" x14ac:dyDescent="0.3">
      <c r="A25" s="12" t="s">
        <v>105</v>
      </c>
      <c r="B25" s="10" t="s">
        <v>85</v>
      </c>
      <c r="C25" s="97">
        <f t="shared" si="0"/>
        <v>0.33854166666666669</v>
      </c>
      <c r="D25" s="10">
        <v>325</v>
      </c>
      <c r="E25" s="98">
        <f>IFERROR((D25*6),"?")</f>
        <v>1950</v>
      </c>
      <c r="F25" s="99"/>
      <c r="G25" s="10" t="s">
        <v>202</v>
      </c>
      <c r="H25" s="100">
        <v>45972</v>
      </c>
      <c r="I25" s="101">
        <v>45972</v>
      </c>
      <c r="J25" s="10" t="s">
        <v>203</v>
      </c>
      <c r="K25" s="10" t="s">
        <v>136</v>
      </c>
      <c r="L25" s="10" t="s">
        <v>49</v>
      </c>
      <c r="M25" s="10" t="s">
        <v>196</v>
      </c>
      <c r="N25" s="12" t="s">
        <v>197</v>
      </c>
      <c r="O25" s="10" t="s">
        <v>111</v>
      </c>
      <c r="P25" s="12" t="s">
        <v>111</v>
      </c>
      <c r="Q25" s="10" t="s">
        <v>198</v>
      </c>
      <c r="R25" s="10" t="s">
        <v>49</v>
      </c>
      <c r="S25" s="10" t="s">
        <v>10</v>
      </c>
      <c r="T25" s="2" t="str">
        <f t="shared" si="1"/>
        <v>C100</v>
      </c>
      <c r="U25" s="2" t="str" cm="1">
        <f t="array" ref="U25">_xlfn.LET(
  _xlpm.ch, TRIM(SUBSTITUTE(G25,CHAR(160),"")),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IF(L25="CLIENTE", O25, IF(LEFT(L25,4)="http", L25, "MACPONTA AGRO DE "&amp;L25)),
  _xlpm.paraBase, IF(M25="CLIENTE", P25, M25),
  _xlpm.paraTxt, IF(LEFT(_xlpm.paraBase,4)="http", _xlpm.paraBase, "MACPONTA AGRO DE "&amp;_xlpm.paraBase),
  _xlpm.nfParte, IF(LEN(TRIM(I25))=0, "", " -NF "&amp;TRIM(I25)),
  "- " &amp; _xlpm.tipotxt &amp; ": *" &amp; G25 &amp; "*" &amp; CHAR(13)&amp;CHAR(10) &amp;
  "- " &amp; _xlpm.dimtxt &amp; CHAR(13)&amp;CHAR(10) &amp;
  "- *Cliente*: " &amp; J25 &amp; _xlpm.nfParte &amp; CHAR(13)&amp;CHAR(10) &amp;
  "- *Obs:* " &amp; Q25 &amp; CHAR(13)&amp;CHAR(10) &amp; CHAR(10) &amp;
  "- *De*: " &amp; _xlpm.deTxt &amp; CHAR(13)&amp;CHAR(10) &amp;
  "- *Para*: " &amp; _xlpm.paraTxt &amp; CHAR(13)&amp;CHAR(10) &amp;
  "- *Ida e volta*: +/- " &amp; TEXT(((D25*1.5)/1440),"h:mm") &amp; "h | " &amp; D25 &amp; "km"
)</f>
        <v>- : *9AGC1007EHS000187*_x000D_
- _x000D_
- *Cliente*: TRANSF -NF000076891 -NF 45972_x000D_
- *Obs:* N/A_x000D_
- *De*: MACPONTA AGRO DE IRATI_x000D_
- *Para*: MACPONTA AGRO DE PRUDENTÓPOLIS_x000D_
- *Ida e volta*: +/- 8:07h | 325km</v>
      </c>
    </row>
    <row r="26" spans="1:21" ht="14.4" x14ac:dyDescent="0.3">
      <c r="A26" s="12" t="s">
        <v>105</v>
      </c>
      <c r="B26" s="10" t="s">
        <v>27</v>
      </c>
      <c r="C26" s="97">
        <f t="shared" si="0"/>
        <v>8.1250000000000003E-2</v>
      </c>
      <c r="D26" s="10">
        <v>78</v>
      </c>
      <c r="E26" s="98"/>
      <c r="F26" s="99">
        <v>1389</v>
      </c>
      <c r="G26" s="10" t="s">
        <v>204</v>
      </c>
      <c r="H26" s="100">
        <v>45972</v>
      </c>
      <c r="I26" s="101">
        <v>45972</v>
      </c>
      <c r="J26" s="10" t="s">
        <v>205</v>
      </c>
      <c r="K26" s="10" t="s">
        <v>124</v>
      </c>
      <c r="L26" s="10" t="s">
        <v>196</v>
      </c>
      <c r="M26" s="10" t="s">
        <v>109</v>
      </c>
      <c r="N26" s="12" t="s">
        <v>110</v>
      </c>
      <c r="O26" s="10" t="s">
        <v>111</v>
      </c>
      <c r="P26" s="13" t="s">
        <v>206</v>
      </c>
      <c r="Q26" s="10" t="s">
        <v>207</v>
      </c>
      <c r="R26" s="10" t="s">
        <v>125</v>
      </c>
      <c r="S26" s="10" t="s">
        <v>10</v>
      </c>
      <c r="T26" s="2" t="str">
        <f t="shared" si="1"/>
        <v>6100J</v>
      </c>
      <c r="U26" s="2" t="str" cm="1">
        <f t="array" ref="U26">_xlfn.LET(
  _xlpm.ch, TRIM(SUBSTITUTE(G26,CHAR(160),"")),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IF(L26="CLIENTE", O26, IF(LEFT(L26,4)="http", L26, "MACPONTA AGRO DE "&amp;L26)),
  _xlpm.paraBase, IF(M26="CLIENTE", P26, M26),
  _xlpm.paraTxt, IF(LEFT(_xlpm.paraBase,4)="http", _xlpm.paraBase, "MACPONTA AGRO DE "&amp;_xlpm.paraBase),
  _xlpm.nfParte, IF(LEN(TRIM(I26))=0, "", " -NF "&amp;TRIM(I26)),
  "- " &amp; _xlpm.tipotxt &amp; ": *" &amp; G26 &amp; "*" &amp; CHAR(13)&amp;CHAR(10) &amp;
  "- " &amp; _xlpm.dimtxt &amp; CHAR(13)&amp;CHAR(10) &amp;
  "- *Cliente*: " &amp; J26 &amp; _xlpm.nfParte &amp; CHAR(13)&amp;CHAR(10) &amp;
  "- *Obs:* " &amp; Q26 &amp; CHAR(13)&amp;CHAR(10) &amp; CHAR(10) &amp;
  "- *De*: " &amp; _xlpm.deTxt &amp; CHAR(13)&amp;CHAR(10) &amp;
  "- *Para*: " &amp; _xlpm.paraTxt &amp; CHAR(13)&amp;CHAR(10) &amp;
  "- *Ida e volta*: +/- " &amp; TEXT(((D26*1.5)/1440),"h:mm") &amp; "h | " &amp; D26 &amp; "km"
)</f>
        <v>- TRATOR: *1BM6100JESD602123*_x000D_
- _x000D_
- *Cliente*: OSWALDO R BARBOSA -NF107698 -NF 45972_x000D_
- *Obs:* Oswaldo_x000D_
- *De*: MACPONTA AGRO DE PRUDENTÓPOLIS_x000D_
- *Para*: https://maps.app.goo.gl/3mYP9KzrASogJS3w9_x000D_
- *Ida e volta*: +/- 1:57h | 78km</v>
      </c>
    </row>
    <row r="27" spans="1:21" ht="14.4" x14ac:dyDescent="0.3">
      <c r="A27" s="12" t="s">
        <v>171</v>
      </c>
      <c r="B27" s="10" t="s">
        <v>85</v>
      </c>
      <c r="C27" s="97">
        <f t="shared" si="0"/>
        <v>0.52083333333333337</v>
      </c>
      <c r="D27" s="10">
        <v>500</v>
      </c>
      <c r="E27" s="98">
        <v>800</v>
      </c>
      <c r="F27" s="99"/>
      <c r="G27" s="10" t="s">
        <v>208</v>
      </c>
      <c r="H27" s="100">
        <v>45972</v>
      </c>
      <c r="I27" s="101">
        <v>45971</v>
      </c>
      <c r="J27" s="10" t="s">
        <v>209</v>
      </c>
      <c r="K27" s="10" t="s">
        <v>155</v>
      </c>
      <c r="L27" s="10" t="s">
        <v>125</v>
      </c>
      <c r="M27" s="10" t="s">
        <v>109</v>
      </c>
      <c r="N27" s="12" t="s">
        <v>210</v>
      </c>
      <c r="O27" s="10" t="s">
        <v>111</v>
      </c>
      <c r="P27" s="13" t="s">
        <v>211</v>
      </c>
      <c r="Q27" s="10" t="s">
        <v>198</v>
      </c>
      <c r="R27" s="10" t="s">
        <v>125</v>
      </c>
      <c r="S27" s="10" t="s">
        <v>8</v>
      </c>
      <c r="T27" s="2" t="str">
        <f t="shared" si="1"/>
        <v>RD30</v>
      </c>
      <c r="U27" s="2" t="str" cm="1">
        <f t="array" ref="U27">_xlfn.LET(
  _xlpm.ch, TRIM(SUBSTITUTE(G27,CHAR(160),"")),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IF(L27="CLIENTE", O27, IF(LEFT(L27,4)="http", L27, "MACPONTA AGRO DE "&amp;L27)),
  _xlpm.paraBase, IF(M27="CLIENTE", P27, M27),
  _xlpm.paraTxt, IF(LEFT(_xlpm.paraBase,4)="http", _xlpm.paraBase, "MACPONTA AGRO DE "&amp;_xlpm.paraBase),
  _xlpm.nfParte, IF(LEN(TRIM(I27))=0, "", " -NF "&amp;TRIM(I27)),
  "- " &amp; _xlpm.tipotxt &amp; ": *" &amp; G27 &amp; "*" &amp; CHAR(13)&amp;CHAR(10) &amp;
  "- " &amp; _xlpm.dimtxt &amp; CHAR(13)&amp;CHAR(10) &amp;
  "- *Cliente*: " &amp; J27 &amp; _xlpm.nfParte &amp; CHAR(13)&amp;CHAR(10) &amp;
  "- *Obs:* " &amp; Q27 &amp; CHAR(13)&amp;CHAR(10) &amp; CHAR(10) &amp;
  "- *De*: " &amp; _xlpm.deTxt &amp; CHAR(13)&amp;CHAR(10) &amp;
  "- *Para*: " &amp; _xlpm.paraTxt &amp; CHAR(13)&amp;CHAR(10) &amp;
  "- *Ida e volta*: +/- " &amp; TEXT(((D27*1.5)/1440),"h:mm") &amp; "h | " &amp; D27 &amp; "km"
)</f>
        <v>- PLATAFORMA: *1CQRD30AVS0160245*_x000D_
- A:1,60 x C:9,14 x L:2,20-2,20 x P:4.200kg_x000D_
- *Cliente*: DOUGLAS FONSECA -NF 107225 -NF 45971_x000D_
- *Obs:* N/A_x000D_
- *De*: MACPONTA AGRO DE GUARAPUAVA_x000D_
- *Para*: https://maps.app.goo.gl/xyQpe8BG44WqsG1v9_x000D_
- *Ida e volta*: +/- 12:30h | 500km</v>
      </c>
    </row>
    <row r="28" spans="1:21" ht="14.4" x14ac:dyDescent="0.3">
      <c r="A28" s="12" t="s">
        <v>171</v>
      </c>
      <c r="B28" s="10" t="s">
        <v>85</v>
      </c>
      <c r="C28" s="97">
        <f t="shared" si="0"/>
        <v>0.52083333333333337</v>
      </c>
      <c r="D28" s="10">
        <v>500</v>
      </c>
      <c r="E28" s="98">
        <v>2200</v>
      </c>
      <c r="F28" s="99"/>
      <c r="G28" s="10" t="s">
        <v>212</v>
      </c>
      <c r="H28" s="100">
        <v>45972</v>
      </c>
      <c r="I28" s="101">
        <v>45971</v>
      </c>
      <c r="J28" s="10" t="s">
        <v>209</v>
      </c>
      <c r="K28" s="10" t="s">
        <v>155</v>
      </c>
      <c r="L28" s="10" t="s">
        <v>125</v>
      </c>
      <c r="M28" s="10" t="s">
        <v>109</v>
      </c>
      <c r="N28" s="12" t="s">
        <v>210</v>
      </c>
      <c r="O28" s="10" t="s">
        <v>111</v>
      </c>
      <c r="P28" s="13" t="s">
        <v>211</v>
      </c>
      <c r="Q28" s="10" t="s">
        <v>198</v>
      </c>
      <c r="R28" s="10" t="s">
        <v>125</v>
      </c>
      <c r="S28" s="10" t="s">
        <v>6</v>
      </c>
      <c r="T28" s="2" t="str">
        <f t="shared" si="1"/>
        <v>S550</v>
      </c>
      <c r="U28" s="2" t="str" cm="1">
        <f t="array" ref="U28">_xlfn.LET(
  _xlpm.ch, TRIM(SUBSTITUTE(G28,CHAR(160),"")),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IF(L28="CLIENTE", O28, IF(LEFT(L28,4)="http", L28, "MACPONTA AGRO DE "&amp;L28)),
  _xlpm.paraBase, IF(M28="CLIENTE", P28, M28),
  _xlpm.paraTxt, IF(LEFT(_xlpm.paraBase,4)="http", _xlpm.paraBase, "MACPONTA AGRO DE "&amp;_xlpm.paraBase),
  _xlpm.nfParte, IF(LEN(TRIM(I28))=0, "", " -NF "&amp;TRIM(I28)),
  "- " &amp; _xlpm.tipotxt &amp; ": *" &amp; G28 &amp; "*" &amp; CHAR(13)&amp;CHAR(10) &amp;
  "- " &amp; _xlpm.dimtxt &amp; CHAR(13)&amp;CHAR(10) &amp;
  "- *Cliente*: " &amp; J28 &amp; _xlpm.nfParte &amp; CHAR(13)&amp;CHAR(10) &amp;
  "- *Obs:* " &amp; Q28 &amp; CHAR(13)&amp;CHAR(10) &amp; CHAR(10) &amp;
  "- *De*: " &amp; _xlpm.deTxt &amp; CHAR(13)&amp;CHAR(10) &amp;
  "- *Para*: " &amp; _xlpm.paraTxt &amp; CHAR(13)&amp;CHAR(10) &amp;
  "- *Ida e volta*: +/- " &amp; TEXT(((D28*1.5)/1440),"h:mm") &amp; "h | " &amp; D28 &amp; "km"
)</f>
        <v>- COLHEITADEIRA: *1CQS550APS0160136*_x000D_
- A:3,80 x C:10,00 x L:3,70-4,20 x P:15.938kg_x000D_
- *Cliente*: DOUGLAS FONSECA -NF 107225 -NF 45971_x000D_
- *Obs:* N/A_x000D_
- *De*: MACPONTA AGRO DE GUARAPUAVA_x000D_
- *Para*: https://maps.app.goo.gl/xyQpe8BG44WqsG1v9_x000D_
- *Ida e volta*: +/- 12:30h | 500km</v>
      </c>
    </row>
    <row r="29" spans="1:21" ht="14.4" x14ac:dyDescent="0.3">
      <c r="A29" s="12" t="s">
        <v>105</v>
      </c>
      <c r="B29" s="10" t="s">
        <v>84</v>
      </c>
      <c r="C29" s="97">
        <f t="shared" si="0"/>
        <v>5.9374999999999997E-2</v>
      </c>
      <c r="D29" s="10">
        <v>57</v>
      </c>
      <c r="E29" s="98">
        <f>IFERROR((D29*6),"?")</f>
        <v>342</v>
      </c>
      <c r="F29" s="99"/>
      <c r="G29" s="10" t="s">
        <v>213</v>
      </c>
      <c r="H29" s="100">
        <v>45973</v>
      </c>
      <c r="I29" s="101">
        <v>45973</v>
      </c>
      <c r="J29" s="10" t="s">
        <v>118</v>
      </c>
      <c r="K29" s="10" t="s">
        <v>155</v>
      </c>
      <c r="L29" s="10" t="s">
        <v>109</v>
      </c>
      <c r="M29" s="10" t="s">
        <v>142</v>
      </c>
      <c r="N29" s="12" t="s">
        <v>119</v>
      </c>
      <c r="O29" s="10" t="s">
        <v>214</v>
      </c>
      <c r="P29" s="12" t="s">
        <v>111</v>
      </c>
      <c r="Q29" s="10" t="s">
        <v>215</v>
      </c>
      <c r="R29" s="10" t="s">
        <v>142</v>
      </c>
      <c r="S29" s="10" t="s">
        <v>10</v>
      </c>
      <c r="T29" s="2" t="str">
        <f t="shared" si="1"/>
        <v>7230J</v>
      </c>
      <c r="U29" s="2" t="str" cm="1">
        <f t="array" ref="U29">_xlfn.LET(
  _xlpm.ch, TRIM(SUBSTITUTE(G29,CHAR(160),"")),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TRIM(SUBSTITUTE(T29,CHAR(160),"")),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IF(L29="CLIENTE", O29, IF(LEFT(L29,4)="http", L29, "MACPONTA AGRO DE "&amp;L29)),
  _xlpm.paraBase, IF(M29="CLIENTE", P29, M29),
  _xlpm.paraTxt, IF(LEFT(_xlpm.paraBase,4)="http", _xlpm.paraBase, "MACPONTA AGRO DE "&amp;_xlpm.paraBase),
  _xlpm.nfParte, IF(LEN(TRIM(I29))=0, "", " -NF "&amp;TRIM(I29)),
  "- " &amp; _xlpm.tipotxt &amp; ": *" &amp; G29 &amp; "*" &amp; CHAR(13)&amp;CHAR(10) &amp;
  "- " &amp; _xlpm.dimtxt &amp; CHAR(13)&amp;CHAR(10) &amp;
  "- *Cliente*: " &amp; J29 &amp; _xlpm.nfParte &amp; CHAR(13)&amp;CHAR(10) &amp;
  "- *Obs:* " &amp; Q29 &amp; CHAR(13)&amp;CHAR(10) &amp; CHAR(10) &amp;
  "- *De*: " &amp; _xlpm.deTxt &amp; CHAR(13)&amp;CHAR(10) &amp;
  "- *Para*: " &amp; _xlpm.paraTxt &amp; CHAR(13)&amp;CHAR(10) &amp;
  "- *Ida e volta*: +/- " &amp; TEXT(((D29*1.5)/1440),"h:mm") &amp; "h | " &amp; D29 &amp; "km"
)</f>
        <v>- TRATOR: *1BM7230JCPH010913*_x000D_
- _x000D_
- *Cliente*: CLIENTE → MANUTENÇÃO -NF 45973_x000D_
- *Obs:* FABIO - 42-99921-1220_x000D_
- *De*: https://maps.app.goo.gl/xb5MkVzoE3pEMvuw8_x000D_
- *Para*: MACPONTA AGRO DE PONTA GROSSA_x000D_
- *Ida e volta*: +/- 1:25h | 57km</v>
      </c>
    </row>
    <row r="30" spans="1:21" ht="14.4" x14ac:dyDescent="0.3">
      <c r="A30" s="12" t="s">
        <v>105</v>
      </c>
      <c r="B30" s="10" t="s">
        <v>85</v>
      </c>
      <c r="C30" s="97">
        <f t="shared" si="0"/>
        <v>0.10416666666666667</v>
      </c>
      <c r="D30" s="10">
        <v>100</v>
      </c>
      <c r="E30" s="98">
        <f>IFERROR((D30*6),"?")</f>
        <v>600</v>
      </c>
      <c r="F30" s="99"/>
      <c r="G30" s="10" t="s">
        <v>216</v>
      </c>
      <c r="H30" s="100">
        <v>45974</v>
      </c>
      <c r="I30" s="101">
        <v>45974</v>
      </c>
      <c r="J30" s="10" t="s">
        <v>118</v>
      </c>
      <c r="K30" s="10" t="s">
        <v>155</v>
      </c>
      <c r="L30" s="10" t="s">
        <v>142</v>
      </c>
      <c r="M30" s="10" t="s">
        <v>109</v>
      </c>
      <c r="N30" s="12" t="s">
        <v>110</v>
      </c>
      <c r="O30" s="10" t="s">
        <v>111</v>
      </c>
      <c r="P30" s="12" t="s">
        <v>217</v>
      </c>
      <c r="Q30" s="10" t="s">
        <v>218</v>
      </c>
      <c r="R30" s="10" t="s">
        <v>142</v>
      </c>
      <c r="S30" s="10" t="s">
        <v>10</v>
      </c>
      <c r="T30" s="2" t="str">
        <f t="shared" si="1"/>
        <v>7225J</v>
      </c>
      <c r="U30" s="2" t="str" cm="1">
        <f t="array" ref="U30">_xlfn.LET(
  _xlpm.ch, TRIM(SUBSTITUTE(G30,CHAR(160),"")),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IF(L30="CLIENTE", O30, IF(LEFT(L30,4)="http", L30, "MACPONTA AGRO DE "&amp;L30)),
  _xlpm.paraBase, IF(M30="CLIENTE", P30, M30),
  _xlpm.paraTxt, IF(LEFT(_xlpm.paraBase,4)="http", _xlpm.paraBase, "MACPONTA AGRO DE "&amp;_xlpm.paraBase),
  _xlpm.nfParte, IF(LEN(TRIM(I30))=0, "", " -NF "&amp;TRIM(I30)),
  "- " &amp; _xlpm.tipotxt &amp; ": *" &amp; G30 &amp; "*" &amp; CHAR(13)&amp;CHAR(10) &amp;
  "- " &amp; _xlpm.dimtxt &amp; CHAR(13)&amp;CHAR(10) &amp;
  "- *Cliente*: " &amp; J30 &amp; _xlpm.nfParte &amp; CHAR(13)&amp;CHAR(10) &amp;
  "- *Obs:* " &amp; Q30 &amp; CHAR(13)&amp;CHAR(10) &amp; CHAR(10) &amp;
  "- *De*: " &amp; _xlpm.deTxt &amp; CHAR(13)&amp;CHAR(10) &amp;
  "- *Para*: " &amp; _xlpm.paraTxt &amp; CHAR(13)&amp;CHAR(10) &amp;
  "- *Ida e volta*: +/- " &amp; TEXT(((D30*1.5)/1440),"h:mm") &amp; "h | " &amp; D30 &amp; "km"
)</f>
        <v>- TRATOR: *1BM7225JCGH004564*_x000D_
- _x000D_
- *Cliente*: CLIENTE → MANUTENÇÃO -NF 45974_x000D_
- *Obs:* RUBINHO 42- 99972-3850_x000D_
- *De*: MACPONTA AGRO DE PONTA GROSSA_x000D_
- *Para*: https://maps.app.goo.gl/TWUFTdA34fB48Hvv8_x000D_
- *Ida e volta*: +/- 2:30h | 100km</v>
      </c>
    </row>
    <row r="31" spans="1:21" ht="14.4" x14ac:dyDescent="0.3">
      <c r="A31" s="12" t="s">
        <v>105</v>
      </c>
      <c r="B31" s="10" t="s">
        <v>84</v>
      </c>
      <c r="C31" s="97">
        <f t="shared" si="0"/>
        <v>0.109375</v>
      </c>
      <c r="D31" s="10">
        <v>105</v>
      </c>
      <c r="E31" s="98">
        <f>IFERROR((D31*6),"?")</f>
        <v>630</v>
      </c>
      <c r="F31" s="99"/>
      <c r="G31" s="10" t="s">
        <v>219</v>
      </c>
      <c r="H31" s="100">
        <v>45974</v>
      </c>
      <c r="I31" s="101">
        <v>45974</v>
      </c>
      <c r="J31" s="10" t="s">
        <v>220</v>
      </c>
      <c r="K31" s="10" t="s">
        <v>108</v>
      </c>
      <c r="L31" s="10" t="s">
        <v>109</v>
      </c>
      <c r="M31" s="10" t="s">
        <v>49</v>
      </c>
      <c r="N31" s="12" t="s">
        <v>119</v>
      </c>
      <c r="O31" s="136" t="s">
        <v>221</v>
      </c>
      <c r="P31" s="12" t="s">
        <v>111</v>
      </c>
      <c r="Q31" s="10" t="s">
        <v>222</v>
      </c>
      <c r="R31" s="10" t="s">
        <v>49</v>
      </c>
      <c r="S31" s="10" t="s">
        <v>10</v>
      </c>
    </row>
    <row r="32" spans="1:21" ht="14.4" x14ac:dyDescent="0.3">
      <c r="A32" s="12" t="s">
        <v>105</v>
      </c>
      <c r="B32" s="10" t="s">
        <v>84</v>
      </c>
      <c r="C32" s="97">
        <f t="shared" si="0"/>
        <v>7.4999999999999997E-2</v>
      </c>
      <c r="D32" s="10">
        <v>72</v>
      </c>
      <c r="E32" s="98">
        <f>IFERROR((D32*6),"?")</f>
        <v>432</v>
      </c>
      <c r="F32" s="99"/>
      <c r="G32" s="10" t="s">
        <v>223</v>
      </c>
      <c r="H32" s="100">
        <v>45974</v>
      </c>
      <c r="I32" s="101">
        <v>45974</v>
      </c>
      <c r="J32" s="10" t="s">
        <v>224</v>
      </c>
      <c r="K32" s="10" t="s">
        <v>108</v>
      </c>
      <c r="L32" s="10" t="s">
        <v>109</v>
      </c>
      <c r="M32" s="10" t="s">
        <v>49</v>
      </c>
      <c r="N32" s="12" t="s">
        <v>119</v>
      </c>
      <c r="O32" s="11" t="s">
        <v>225</v>
      </c>
      <c r="P32" s="12" t="s">
        <v>111</v>
      </c>
      <c r="Q32" s="10" t="s">
        <v>222</v>
      </c>
      <c r="R32" s="10" t="s">
        <v>49</v>
      </c>
      <c r="S32" s="10" t="s">
        <v>10</v>
      </c>
      <c r="T32" s="2" t="str">
        <f t="shared" si="1"/>
        <v>5080E</v>
      </c>
      <c r="U32" s="2" t="str" cm="1">
        <f t="array" ref="U32">_xlfn.LET(
  _xlpm.ch, TRIM(SUBSTITUTE(G32,CHAR(160),"")),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IF(L32="CLIENTE", O32, IF(LEFT(L32,4)="http", L32, "MACPONTA AGRO DE "&amp;L32)),
  _xlpm.paraBase, IF(M32="CLIENTE", P32, M32),
  _xlpm.paraTxt, IF(LEFT(_xlpm.paraBase,4)="http", _xlpm.paraBase, "MACPONTA AGRO DE "&amp;_xlpm.paraBase),
  _xlpm.nfParte, IF(LEN(TRIM(I32))=0, "", " -NF "&amp;TRIM(I32)),
  "- " &amp; _xlpm.tipotxt &amp; ": *" &amp; G32 &amp; "*" &amp; CHAR(13)&amp;CHAR(10) &amp;
  "- " &amp; _xlpm.dimtxt &amp; CHAR(13)&amp;CHAR(10) &amp;
  "- *Cliente*: " &amp; J32 &amp; _xlpm.nfParte &amp; CHAR(13)&amp;CHAR(10) &amp;
  "- *Obs:* " &amp; Q32 &amp; CHAR(13)&amp;CHAR(10) &amp; CHAR(10) &amp;
  "- *De*: " &amp; _xlpm.deTxt &amp; CHAR(13)&amp;CHAR(10) &amp;
  "- *Para*: " &amp; _xlpm.paraTxt &amp; CHAR(13)&amp;CHAR(10) &amp;
  "- *Ida e volta*: +/- " &amp; TEXT(((D32*1.5)/1440),"h:mm") &amp; "h | " &amp; D32 &amp; "km"
)</f>
        <v>- TRATOR: *1BM5080ECN4109659*_x000D_
- _x000D_
- *Cliente*: ANSELMO WASELECHEN → MANUTENÇÃO -NF 45974_x000D_
- *Obs:* OFICINA_x000D_
- *De*: https://maps.app.goo.gl/fhc785TjS54Vtjgc8_x000D_
- *Para*: MACPONTA AGRO DE IRATI_x000D_
- *Ida e volta*: +/- 1:48h | 72km</v>
      </c>
    </row>
    <row r="33" spans="1:21" ht="14.4" x14ac:dyDescent="0.3">
      <c r="A33" s="12" t="s">
        <v>105</v>
      </c>
      <c r="B33" s="10" t="s">
        <v>84</v>
      </c>
      <c r="C33" s="97">
        <f t="shared" si="0"/>
        <v>0.11979166666666667</v>
      </c>
      <c r="D33" s="10">
        <v>115</v>
      </c>
      <c r="E33" s="98">
        <f>IFERROR((D33*6),"?")</f>
        <v>690</v>
      </c>
      <c r="F33" s="99"/>
      <c r="G33" s="10" t="s">
        <v>117</v>
      </c>
      <c r="H33" s="100">
        <v>45974</v>
      </c>
      <c r="I33" s="101">
        <v>45974</v>
      </c>
      <c r="J33" s="10" t="s">
        <v>226</v>
      </c>
      <c r="K33" s="10" t="s">
        <v>108</v>
      </c>
      <c r="L33" s="10" t="s">
        <v>49</v>
      </c>
      <c r="M33" s="10" t="s">
        <v>109</v>
      </c>
      <c r="N33" s="12" t="s">
        <v>110</v>
      </c>
      <c r="O33" s="10" t="s">
        <v>111</v>
      </c>
      <c r="P33" s="13" t="s">
        <v>227</v>
      </c>
      <c r="Q33" s="10" t="s">
        <v>228</v>
      </c>
      <c r="R33" s="10" t="s">
        <v>49</v>
      </c>
      <c r="S33" s="10" t="s">
        <v>10</v>
      </c>
      <c r="T33" s="2" t="str">
        <f t="shared" si="1"/>
        <v>5080E</v>
      </c>
      <c r="U33" s="2" t="str" cm="1">
        <f t="array" ref="U33">_xlfn.LET(
  _xlpm.ch, TRIM(SUBSTITUTE(G33,CHAR(160),"")),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TRIM(SUBSTITUTE(T33,CHAR(160),"")),
  _xlpm.nomeMod, IFERROR(_xlfn.XLOOKUP("*"&amp;_xlpm.modelo&amp;"*", UTIL!D:D, UTIL!B:B, "", 2),
           IFERROR(_xlfn.XLOOKUP("*"&amp;_xlpm.modelo&amp;"*", UTIL!E:E, UTIL!B:B, "", 2), "")),
  _xlpm.tipoMod, IF(_xlpm.nomeMod="", "",
           IFERROR(LEFT(_xlpm.nomeMod, FIND(" ", _xlpm.nomeMod)-1), _xlpm.nomeMod)),
  _xlpm.dimMod,  IFERROR(_xlfn.XLOOKUP("*"&amp;_xlpm.modelo&amp;"*", UTIL!D:D, UTIL!K:K, "", 2),
           IFERROR(_xlfn.XLOOKUP("*"&amp;_xlpm.modelo&amp;"*", UTIL!E:E, UTIL!K:K, "", 2), "")),
  _xlpm.tipotxt_antigo,
    IF(
      _xlpm.ehTrator,
      "TRATOR",
      IFERROR(
        _xlfn.XLOOKUP(_xlpm.chave, _xlpm.fonte, UTIL!BP:BP, "", 0),
        IFERROR(
          _xlfn.XLOOKUP("*"&amp;_xlpm.chave&amp;"*", _xlpm.fonte, UTIL!BP:BP, "", 2),
          "Não encontrado"
        )
      )
    ),
  _xlpm.dimtxt_antigo,
    IF(
      _xlpm.ehTrator,
      IFERROR(
        _xlfn.XLOOKUP(MID(_xlpm.ch,4,4), UTIL!BR:BR, UTIL!BY:BY, "", 0),
        IFERROR(
          _xlfn.XLOOKUP("*"&amp;MID(_xlpm.ch,4,4)&amp;"*", UTIL!BR:BR, UTIL!BY:BY, "", 2),
          "Não encontrado"
        )
      ),
      IFERROR(
        _xlfn.XLOOKUP(_xlpm.chave, _xlpm.fonte, UTIL!BY:BY, "", 0),
        IFERROR(
          _xlfn.XLOOKUP("*"&amp;_xlpm.chave&amp;"*", _xlpm.fonte, UTIL!BY:BY, "", 2),
          "Não encontrado"
        )
      )
    ),
  _xlpm.tipotxt, IF(_xlpm.tipoMod&lt;&gt;"", _xlpm.tipoMod, _xlpm.tipotxt_antigo),
  _xlpm.dimtxt,  IF(_xlpm.dimMod&lt;&gt;"", _xlpm.dimMod, _xlpm.dimtxt_antigo),
  _xlpm.deTxt, IF(L33="CLIENTE", O33,
        IF(LEFT(L33,4)="http", L33, "MACPONTA AGRO DE "&amp;L33)),
  _xlpm.paraBase, IF(M33="CLIENTE", P33, M33),
  _xlpm.paraTxt, IF(LEFT(_xlpm.paraBase,4)="http", _xlpm.paraBase, "MACPONTA AGRO DE "&amp;_xlpm.paraBase),
  _xlpm.nfParte, IF(LEN(TRIM(I33))=0, "", " -NF "&amp;TRIM(I33)),
  "- " &amp; _xlpm.tipotxt &amp; ": *" &amp; G33 &amp; "*" &amp; CHAR(13)&amp;CHAR(10) &amp;
  "- " &amp; _xlpm.dimtxt &amp; CHAR(13)&amp;CHAR(10) &amp;
  "- *Cliente*: " &amp; J33 &amp; _xlpm.nfParte &amp; CHAR(13)&amp;CHAR(10) &amp;
  "- *Obs:* " &amp; Q33 &amp; CHAR(13)&amp;CHAR(10) &amp; CHAR(10) &amp;
  "- *De*: " &amp; _xlpm.deTxt &amp; CHAR(13)&amp;CHAR(10) &amp;
  "- *Para*: " &amp; _xlpm.paraTxt &amp; CHAR(13)&amp;CHAR(10) &amp;
  "- *Ida e volta*: +/- " &amp; TEXT(((D33*1.5)/1440),"h:mm") &amp; "h | " &amp; D33 &amp; "km"
)</f>
        <v>- TRATOR: *1BM5080EEP4112594*_x000D_
- _x000D_
- *Cliente*: MANUTENÇÃO → JOSE VALCIR MOREIRA DA SILVA -NF 45974_x000D_
- *Obs:* JOSE VALCIR_x000D_
- *De*: MACPONTA AGRO DE IRATI_x000D_
- *Para*: https://maps.app.goo.gl/u6RQ92AcKr5YZVN5A_x000D_
- *Ida e volta*: +/- 2:52h | 115km</v>
      </c>
    </row>
    <row r="34" spans="1:21" ht="14.4" x14ac:dyDescent="0.3">
      <c r="A34" s="12" t="s">
        <v>105</v>
      </c>
      <c r="B34" s="10" t="s">
        <v>29</v>
      </c>
      <c r="C34" s="97">
        <f t="shared" ref="C34:C65" si="2">IFERROR((D34*1.5)/1440, "?")</f>
        <v>0.10312499999999999</v>
      </c>
      <c r="D34" s="10">
        <v>99</v>
      </c>
      <c r="E34" s="98"/>
      <c r="F34" s="99">
        <v>1000</v>
      </c>
      <c r="G34" s="10" t="s">
        <v>229</v>
      </c>
      <c r="H34" s="100">
        <v>45974</v>
      </c>
      <c r="I34" s="101">
        <v>45974</v>
      </c>
      <c r="J34" s="10" t="s">
        <v>230</v>
      </c>
      <c r="K34" s="10" t="s">
        <v>168</v>
      </c>
      <c r="L34" s="10" t="s">
        <v>47</v>
      </c>
      <c r="M34" s="10" t="s">
        <v>109</v>
      </c>
      <c r="N34" s="12" t="s">
        <v>110</v>
      </c>
      <c r="O34" s="10" t="s">
        <v>111</v>
      </c>
      <c r="P34" s="12" t="s">
        <v>231</v>
      </c>
      <c r="Q34" s="10" t="s">
        <v>232</v>
      </c>
      <c r="R34" s="10" t="s">
        <v>47</v>
      </c>
      <c r="S34" s="10" t="s">
        <v>10</v>
      </c>
      <c r="T34" s="2" t="str">
        <f t="shared" ref="T34:T38" si="3">IF(
  OR(
    IFERROR(FIND("BM",G34),0)&gt;0,
    IFERROR(FIND("PY",G34),0)&gt;0
  ),
  MID(TRIM(SUBSTITUTE(SUBSTITUTE(G34,CHAR(160),""),CHAR(9),"")),4,5),
  MID(TRIM(SUBSTITUTE(SUBSTITUTE(G34,CHAR(160),""),CHAR(9),"")),4,4)
)</f>
        <v>DN10</v>
      </c>
      <c r="U34" s="2" t="str" cm="1">
        <f t="array" ref="U34">_xlfn.LET(
  _xlpm.ch, TRIM(SUBSTITUTE(G34,CHAR(160),"")),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IF(L34="CLIENTE", O34, IF(LEFT(L34,4)="http", L34, "MACPONTA AGRO DE "&amp;L34)),
  _xlpm.paraBase, IF(M34="CLIENTE", P34, M34),
  _xlpm.paraTxt, IF(LEFT(_xlpm.paraBase,4)="http", _xlpm.paraBase, "MACPONTA AGRO DE "&amp;_xlpm.paraBase),
  _xlpm.nfParte, IF(LEN(TRIM(I34))=0, "", " -NF "&amp;TRIM(I34)),
  "- " &amp; _xlpm.tipotxt &amp; ": *" &amp; G34 &amp; "*" &amp; CHAR(13)&amp;CHAR(10) &amp;
  "- " &amp; _xlpm.dimtxt &amp; CHAR(13)&amp;CHAR(10) &amp;
  "- *Cliente*: " &amp; J34 &amp; _xlpm.nfParte &amp; CHAR(13)&amp;CHAR(10) &amp;
  "- *Obs:* " &amp; Q34 &amp; CHAR(13)&amp;CHAR(10) &amp; CHAR(10) &amp;
  "- *De*: " &amp; _xlpm.deTxt &amp; CHAR(13)&amp;CHAR(10) &amp;
  "- *Para*: " &amp; _xlpm.paraTxt &amp; CHAR(13)&amp;CHAR(10) &amp;
  "- *Ida e volta*: +/- " &amp; TEXT(((D34*1.5)/1440),"h:mm") &amp; "h | " &amp; D34 &amp; "km"
)</f>
        <v>- : *1XBDN10BHPP000280*_x000D_
- _x000D_
- *Cliente*: MARLON BONILHA -NF61887 -NF 45974_x000D_
- *Obs:* Marlon Bonilha CEN Alison Russi_x000D_
- *De*: MACPONTA AGRO DE ARAPOTI_x000D_
- *Para*: https://maps.app.goo.gl/w3owGFpERZASWfsU6_x000D_
- *Ida e volta*: +/- 2:28h | 99km</v>
      </c>
    </row>
    <row r="35" spans="1:21" ht="14.4" x14ac:dyDescent="0.3">
      <c r="A35" s="143" t="s">
        <v>105</v>
      </c>
      <c r="B35" s="144" t="s">
        <v>31</v>
      </c>
      <c r="C35" s="145">
        <f t="shared" si="2"/>
        <v>9.375E-2</v>
      </c>
      <c r="D35" s="144">
        <v>90</v>
      </c>
      <c r="E35" s="146"/>
      <c r="F35" s="147">
        <v>430</v>
      </c>
      <c r="G35" s="144"/>
      <c r="H35" s="148">
        <v>45975</v>
      </c>
      <c r="I35" s="149">
        <v>45975</v>
      </c>
      <c r="J35" s="10" t="s">
        <v>118</v>
      </c>
      <c r="K35" s="10" t="s">
        <v>108</v>
      </c>
      <c r="L35" s="10" t="s">
        <v>109</v>
      </c>
      <c r="M35" s="10" t="s">
        <v>49</v>
      </c>
      <c r="N35" s="12" t="s">
        <v>119</v>
      </c>
      <c r="O35" s="144" t="s">
        <v>109</v>
      </c>
      <c r="P35" s="150" t="s">
        <v>111</v>
      </c>
      <c r="Q35" s="144"/>
      <c r="R35" s="144" t="s">
        <v>233</v>
      </c>
      <c r="S35" s="144" t="s">
        <v>10</v>
      </c>
      <c r="T35" s="2" t="str">
        <f t="shared" si="3"/>
        <v/>
      </c>
      <c r="U35" s="2" t="str" cm="1">
        <f t="array" ref="U35">_xlfn.LET(
  _xlpm.ch, TRIM(SUBSTITUTE(G35,CHAR(160),"")),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IF(L35="CLIENTE", O35, IF(LEFT(L35,4)="http", L35, "MACPONTA AGRO DE "&amp;L35)),
  _xlpm.paraBase, IF(M35="CLIENTE", P35, M35),
  _xlpm.paraTxt, IF(LEFT(_xlpm.paraBase,4)="http", _xlpm.paraBase, "MACPONTA AGRO DE "&amp;_xlpm.paraBase),
  _xlpm.nfParte, IF(LEN(TRIM(I35))=0, "", " -NF "&amp;TRIM(I35)),
  "- " &amp; _xlpm.tipotxt &amp; ": *" &amp; G35 &amp; "*" &amp; CHAR(13)&amp;CHAR(10) &amp;
  "- " &amp; _xlpm.dimtxt &amp; CHAR(13)&amp;CHAR(10) &amp;
  "- *Cliente*: " &amp; J35 &amp; _xlpm.nfParte &amp; CHAR(13)&amp;CHAR(10) &amp;
  "- *Obs:* " &amp; Q35 &amp; CHAR(13)&amp;CHAR(10) &amp; CHAR(10) &amp;
  "- *De*: " &amp; _xlpm.deTxt &amp; CHAR(13)&amp;CHAR(10) &amp;
  "- *Para*: " &amp; _xlpm.paraTxt &amp; CHAR(13)&amp;CHAR(10) &amp;
  "- *Ida e volta*: +/- " &amp; TEXT(((D35*1.5)/1440),"h:mm") &amp; "h | " &amp; D35 &amp; "km"
)</f>
        <v>- NOME: **_x000D_
- SOLICITAÇÕES_x000D_
- *Cliente*: CLIENTE → MANUTENÇÃO -NF 45975_x000D_
- *Obs:* _x000D_
- *De*: CLIENTE_x000D_
- *Para*: MACPONTA AGRO DE IRATI_x000D_
- *Ida e volta*: +/- 2:15h | 90km</v>
      </c>
    </row>
    <row r="36" spans="1:21" ht="14.4" x14ac:dyDescent="0.3">
      <c r="A36" s="143" t="s">
        <v>105</v>
      </c>
      <c r="B36" s="144" t="s">
        <v>31</v>
      </c>
      <c r="C36" s="145">
        <f t="shared" si="2"/>
        <v>8.7499999999999994E-2</v>
      </c>
      <c r="D36" s="144">
        <v>84</v>
      </c>
      <c r="E36" s="146"/>
      <c r="F36" s="147">
        <v>450</v>
      </c>
      <c r="G36" s="144" t="s">
        <v>234</v>
      </c>
      <c r="H36" s="148">
        <v>45975</v>
      </c>
      <c r="I36" s="149">
        <v>45975</v>
      </c>
      <c r="J36" s="144" t="s">
        <v>235</v>
      </c>
      <c r="K36" s="144" t="s">
        <v>136</v>
      </c>
      <c r="L36" s="144" t="s">
        <v>49</v>
      </c>
      <c r="M36" s="144" t="s">
        <v>109</v>
      </c>
      <c r="N36" s="143" t="s">
        <v>110</v>
      </c>
      <c r="O36" s="144" t="s">
        <v>111</v>
      </c>
      <c r="P36" s="150" t="s">
        <v>236</v>
      </c>
      <c r="Q36" s="144" t="s">
        <v>237</v>
      </c>
      <c r="R36" s="144" t="s">
        <v>49</v>
      </c>
      <c r="S36" s="144" t="s">
        <v>10</v>
      </c>
      <c r="T36" s="2" t="str">
        <f t="shared" si="3"/>
        <v>5080E</v>
      </c>
      <c r="U36" s="2" t="str" cm="1">
        <f t="array" ref="U36">_xlfn.LET(
  _xlpm.ch, TRIM(SUBSTITUTE(G36,CHAR(160),"")),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IF(L36="CLIENTE", O36, IF(LEFT(L36,4)="http", L36, "MACPONTA AGRO DE "&amp;L36)),
  _xlpm.paraBase, IF(M36="CLIENTE", P36, M36),
  _xlpm.paraTxt, IF(LEFT(_xlpm.paraBase,4)="http", _xlpm.paraBase, "MACPONTA AGRO DE "&amp;_xlpm.paraBase),
  _xlpm.nfParte, IF(LEN(TRIM(I36))=0, "", " -NF "&amp;TRIM(I36)),
  "- " &amp; _xlpm.tipotxt &amp; ": *" &amp; G36 &amp; "*" &amp; CHAR(13)&amp;CHAR(10) &amp;
  "- " &amp; _xlpm.dimtxt &amp; CHAR(13)&amp;CHAR(10) &amp;
  "- *Cliente*: " &amp; J36 &amp; _xlpm.nfParte &amp; CHAR(13)&amp;CHAR(10) &amp;
  "- *Obs:* " &amp; Q36 &amp; CHAR(13)&amp;CHAR(10) &amp; CHAR(10) &amp;
  "- *De*: " &amp; _xlpm.deTxt &amp; CHAR(13)&amp;CHAR(10) &amp;
  "- *Para*: " &amp; _xlpm.paraTxt &amp; CHAR(13)&amp;CHAR(10) &amp;
  "- *Ida e volta*: +/- " &amp; TEXT(((D36*1.5)/1440),"h:mm") &amp; "h | " &amp; D36 &amp; "km"
)</f>
        <v>- TRATOR: *1BM5080EKS4204142*_x000D_
- _x000D_
- *Cliente*: ANDRE J NASCIMENTO -NF76885 -NF 45975_x000D_
- *Obs:* ANDRÉ  42 920007503_x000D_
- *De*: MACPONTA AGRO DE IRATI_x000D_
- *Para*: https://maps.app.goo.gl/VQtNqdXpX1Nn1Cwt8_x000D_
- *Ida e volta*: +/- 2:06h | 84km</v>
      </c>
    </row>
    <row r="37" spans="1:21" ht="14.4" x14ac:dyDescent="0.3">
      <c r="A37" s="143" t="s">
        <v>105</v>
      </c>
      <c r="B37" s="144" t="s">
        <v>31</v>
      </c>
      <c r="C37" s="145">
        <f t="shared" si="2"/>
        <v>0.11041666666666666</v>
      </c>
      <c r="D37" s="144">
        <v>106</v>
      </c>
      <c r="E37" s="146"/>
      <c r="F37" s="147">
        <v>300</v>
      </c>
      <c r="G37" s="144" t="s">
        <v>238</v>
      </c>
      <c r="H37" s="148">
        <v>45975</v>
      </c>
      <c r="I37" s="149">
        <v>45975</v>
      </c>
      <c r="J37" s="144" t="s">
        <v>239</v>
      </c>
      <c r="K37" s="144" t="s">
        <v>136</v>
      </c>
      <c r="L37" s="144" t="s">
        <v>49</v>
      </c>
      <c r="M37" s="144" t="s">
        <v>109</v>
      </c>
      <c r="N37" s="143" t="s">
        <v>110</v>
      </c>
      <c r="O37" s="144" t="s">
        <v>111</v>
      </c>
      <c r="P37" s="150" t="s">
        <v>240</v>
      </c>
      <c r="Q37" s="144" t="s">
        <v>241</v>
      </c>
      <c r="R37" s="144" t="s">
        <v>49</v>
      </c>
      <c r="S37" s="144" t="s">
        <v>10</v>
      </c>
      <c r="T37" s="2" t="str">
        <f t="shared" si="3"/>
        <v>5080E</v>
      </c>
      <c r="U37" s="2" t="str" cm="1">
        <f t="array" ref="U37">_xlfn.LET(
  _xlpm.ch, TRIM(SUBSTITUTE(G37,CHAR(160),"")),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IF(L37="CLIENTE", O37, IF(LEFT(L37,4)="http", L37, "MACPONTA AGRO DE "&amp;L37)),
  _xlpm.paraBase, IF(M37="CLIENTE", P37, M37),
  _xlpm.paraTxt, IF(LEFT(_xlpm.paraBase,4)="http", _xlpm.paraBase, "MACPONTA AGRO DE "&amp;_xlpm.paraBase),
  _xlpm.nfParte, IF(LEN(TRIM(I37))=0, "", " -NF "&amp;TRIM(I37)),
  "- " &amp; _xlpm.tipotxt &amp; ": *" &amp; G37 &amp; "*" &amp; CHAR(13)&amp;CHAR(10) &amp;
  "- " &amp; _xlpm.dimtxt &amp; CHAR(13)&amp;CHAR(10) &amp;
  "- *Cliente*: " &amp; J37 &amp; _xlpm.nfParte &amp; CHAR(13)&amp;CHAR(10) &amp;
  "- *Obs:* " &amp; Q37 &amp; CHAR(13)&amp;CHAR(10) &amp; CHAR(10) &amp;
  "- *De*: " &amp; _xlpm.deTxt &amp; CHAR(13)&amp;CHAR(10) &amp;
  "- *Para*: " &amp; _xlpm.paraTxt &amp; CHAR(13)&amp;CHAR(10) &amp;
  "- *Ida e volta*: +/- " &amp; TEXT(((D37*1.5)/1440),"h:mm") &amp; "h | " &amp; D37 &amp; "km"
)</f>
        <v>- TRATOR: *1BM5080EVS4203951*_x000D_
- _x000D_
- *Cliente*: TIAGO J KOCHINHERKO -NF76887 -NF 45975_x000D_
- *Obs:* TIAGO 42 998121951_x000D_
- *De*: MACPONTA AGRO DE IRATI_x000D_
- *Para*: https://maps.app.goo.gl/z97gB1Y9xEQEsjNf6_x000D_
- *Ida e volta*: +/- 2:39h | 106km</v>
      </c>
    </row>
    <row r="38" spans="1:21" ht="14.4" x14ac:dyDescent="0.3">
      <c r="A38" s="143" t="s">
        <v>105</v>
      </c>
      <c r="B38" s="144" t="s">
        <v>33</v>
      </c>
      <c r="C38" s="145">
        <f t="shared" si="2"/>
        <v>0.17291666666666666</v>
      </c>
      <c r="D38" s="144">
        <v>166</v>
      </c>
      <c r="E38" s="146"/>
      <c r="F38" s="147">
        <v>1328</v>
      </c>
      <c r="G38" s="144" t="s">
        <v>242</v>
      </c>
      <c r="H38" s="148">
        <v>45975</v>
      </c>
      <c r="I38" s="149">
        <v>45975</v>
      </c>
      <c r="J38" s="144" t="s">
        <v>243</v>
      </c>
      <c r="K38" s="144" t="s">
        <v>151</v>
      </c>
      <c r="L38" s="144" t="s">
        <v>109</v>
      </c>
      <c r="M38" s="144" t="s">
        <v>47</v>
      </c>
      <c r="N38" s="143" t="s">
        <v>119</v>
      </c>
      <c r="O38" s="152" t="s">
        <v>244</v>
      </c>
      <c r="P38" s="143" t="s">
        <v>111</v>
      </c>
      <c r="Q38" s="144" t="s">
        <v>245</v>
      </c>
      <c r="R38" s="144" t="s">
        <v>47</v>
      </c>
      <c r="S38" s="144" t="s">
        <v>10</v>
      </c>
      <c r="T38" s="2" t="str">
        <f t="shared" si="3"/>
        <v>5080E</v>
      </c>
      <c r="U38" s="2" t="str" cm="1">
        <f t="array" ref="U38">_xlfn.LET(
  _xlpm.ch, TRIM(SUBSTITUTE(G38,CHAR(160),"")),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IF(L38="CLIENTE", O38, IF(LEFT(L38,4)="http", L38, "MACPONTA AGRO DE "&amp;L38)),
  _xlpm.paraBase, IF(M38="CLIENTE", P38, M38),
  _xlpm.paraTxt, IF(LEFT(_xlpm.paraBase,4)="http", _xlpm.paraBase, "MACPONTA AGRO DE "&amp;_xlpm.paraBase),
  _xlpm.nfParte, IF(LEN(TRIM(I38))=0, "", " -NF "&amp;TRIM(I38)),
  "- " &amp; _xlpm.tipotxt &amp; ": *" &amp; G38 &amp; "*" &amp; CHAR(13)&amp;CHAR(10) &amp;
  "- " &amp; _xlpm.dimtxt &amp; CHAR(13)&amp;CHAR(10) &amp;
  "- *Cliente*: " &amp; J38 &amp; _xlpm.nfParte &amp; CHAR(13)&amp;CHAR(10) &amp;
  "- *Obs:* " &amp; Q38 &amp; CHAR(13)&amp;CHAR(10) &amp; CHAR(10) &amp;
  "- *De*: " &amp; _xlpm.deTxt &amp; CHAR(13)&amp;CHAR(10) &amp;
  "- *Para*: " &amp; _xlpm.paraTxt &amp; CHAR(13)&amp;CHAR(10) &amp;
  "- *Ida e volta*: +/- " &amp; TEXT(((D38*1.5)/1440),"h:mm") &amp; "h | " &amp; D38 &amp; "km"
)</f>
        <v>- TRATOR: *1BM5080EJN4108551*_x000D_
- _x000D_
- *Cliente*: ADILSON P FURTADO -NF? -NF 45975_x000D_
- *Obs:*   ADILSON APARECIDO FURTADO 43 - 99864 - 9233_x000D_
- *De*: https://maps.app.goo.gl/tLcmyZnTmDtxQsvb6_x000D_
- *Para*: MACPONTA AGRO DE ARAPOTI_x000D_
- *Ida e volta*: +/- 4:09h | 166km</v>
      </c>
    </row>
    <row r="39" spans="1:21" ht="14.4" x14ac:dyDescent="0.3">
      <c r="A39" s="12" t="s">
        <v>105</v>
      </c>
      <c r="B39" s="10" t="s">
        <v>27</v>
      </c>
      <c r="C39" s="97">
        <f t="shared" si="2"/>
        <v>0.4375</v>
      </c>
      <c r="D39" s="10">
        <v>420</v>
      </c>
      <c r="E39" s="98"/>
      <c r="F39" s="99">
        <v>3662.3</v>
      </c>
      <c r="G39" s="10" t="s">
        <v>246</v>
      </c>
      <c r="H39" s="100">
        <v>45975</v>
      </c>
      <c r="I39" s="101">
        <v>45975</v>
      </c>
      <c r="J39" s="10" t="s">
        <v>247</v>
      </c>
      <c r="K39" s="10" t="s">
        <v>179</v>
      </c>
      <c r="L39" s="10" t="s">
        <v>125</v>
      </c>
      <c r="M39" s="10" t="s">
        <v>109</v>
      </c>
      <c r="N39" s="12" t="s">
        <v>110</v>
      </c>
      <c r="O39" s="10" t="s">
        <v>111</v>
      </c>
      <c r="P39" s="137" t="s">
        <v>248</v>
      </c>
      <c r="Q39" s="10" t="s">
        <v>249</v>
      </c>
      <c r="R39" s="10" t="s">
        <v>50</v>
      </c>
      <c r="S39" s="10" t="s">
        <v>10</v>
      </c>
      <c r="T39" s="2" t="str">
        <f t="shared" ref="T39:T49" si="4">IF(
  OR(
    IFERROR(FIND("BM",G39),0)&gt;0,
    IFERROR(FIND("PY",G39),0)&gt;0
  ),
  MID(TRIM(SUBSTITUTE(SUBSTITUTE(G39,CHAR(160),""),CHAR(9),"")),4,5),
  MID(TRIM(SUBSTITUTE(SUBSTITUTE(G39,CHAR(160),""),CHAR(9),"")),4,4)
)</f>
        <v>6100J</v>
      </c>
      <c r="U39" s="2" t="str" cm="1">
        <f t="array" ref="U39">_xlfn.LET(
  _xlpm.ch, TRIM(SUBSTITUTE(G39,CHAR(160),"")),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TRIM(SUBSTITUTE(T39,CHAR(160),"")),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IF(L39="CLIENTE", O39, IF(LEFT(L39,4)="http", L39, "MACPONTA AGRO DE "&amp;L39)),
  _xlpm.paraBase, IF(M39="CLIENTE", P39, M39),
  _xlpm.paraTxt, IF(LEFT(_xlpm.paraBase,4)="http", _xlpm.paraBase, "MACPONTA AGRO DE "&amp;_xlpm.paraBase),
  _xlpm.nfParte, IF(LEN(TRIM(I39))=0, "", " -NF "&amp;TRIM(I39)),
  "- " &amp; _xlpm.tipotxt &amp; ": *" &amp; G39 &amp; "*" &amp; CHAR(13)&amp;CHAR(10) &amp;
  "- " &amp; _xlpm.dimtxt &amp; CHAR(13)&amp;CHAR(10) &amp;
  "- *Cliente*: " &amp; J39 &amp; _xlpm.nfParte &amp; CHAR(13)&amp;CHAR(10) &amp;
  "- *Obs:* " &amp; Q39 &amp; CHAR(13)&amp;CHAR(10) &amp; CHAR(10) &amp;
  "- *De*: " &amp; _xlpm.deTxt &amp; CHAR(13)&amp;CHAR(10) &amp;
  "- *Para*: " &amp; _xlpm.paraTxt &amp; CHAR(13)&amp;CHAR(10) &amp;
  "- *Ida e volta*: +/- " &amp; TEXT(((D39*1.5)/1440),"h:mm") &amp; "h | " &amp; D39 &amp; "km"
)</f>
        <v>- TRATOR: *1BM6100JCSD602163*_x000D_
- _x000D_
- *Cliente*: RONALDO RABBERS -NF109962 -NF 45975_x000D_
- *Obs:* Lucas (42)988040302_x000D_
- *De*: MACPONTA AGRO DE GUARAPUAVA_x000D_
- *Para*: https://maps.app.goo.gl/6skd9a23gozJLC8q6?g_st=aw_x000D_
- *Ida e volta*: +/- 10:30h | 420km</v>
      </c>
    </row>
    <row r="40" spans="1:21" ht="14.4" x14ac:dyDescent="0.3">
      <c r="A40" s="12" t="s">
        <v>171</v>
      </c>
      <c r="B40" s="10" t="s">
        <v>84</v>
      </c>
      <c r="C40" s="97">
        <f t="shared" si="2"/>
        <v>0.31874999999999998</v>
      </c>
      <c r="D40" s="10">
        <v>306</v>
      </c>
      <c r="E40" s="98">
        <f>IFERROR((D40*6),"?")</f>
        <v>1836</v>
      </c>
      <c r="F40" s="99"/>
      <c r="G40" s="10" t="s">
        <v>250</v>
      </c>
      <c r="H40" s="100">
        <v>45975</v>
      </c>
      <c r="I40" s="101">
        <v>45975</v>
      </c>
      <c r="J40" s="10" t="s">
        <v>251</v>
      </c>
      <c r="K40" s="10" t="s">
        <v>168</v>
      </c>
      <c r="L40" s="10" t="s">
        <v>47</v>
      </c>
      <c r="M40" s="10" t="s">
        <v>109</v>
      </c>
      <c r="N40" s="12" t="s">
        <v>252</v>
      </c>
      <c r="O40" s="10" t="s">
        <v>111</v>
      </c>
      <c r="P40" s="137" t="s">
        <v>253</v>
      </c>
      <c r="Q40" s="10" t="s">
        <v>254</v>
      </c>
      <c r="R40" s="10" t="s">
        <v>47</v>
      </c>
      <c r="S40" s="10" t="s">
        <v>10</v>
      </c>
      <c r="T40" s="2" t="str">
        <f t="shared" si="4"/>
        <v>5080E</v>
      </c>
      <c r="U40" s="2" t="str" cm="1">
        <f t="array" ref="U40">_xlfn.LET(
  _xlpm.ch, TRIM(SUBSTITUTE(G40,CHAR(160),"")),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IF(L40="CLIENTE", O40, IF(LEFT(L40,4)="http", L40, "MACPONTA AGRO DE "&amp;L40)),
  _xlpm.paraBase, IF(M40="CLIENTE", P40, M40),
  _xlpm.paraTxt, IF(LEFT(_xlpm.paraBase,4)="http", _xlpm.paraBase, "MACPONTA AGRO DE "&amp;_xlpm.paraBase),
  _xlpm.nfParte, IF(LEN(TRIM(I40))=0, "", " -NF "&amp;TRIM(I40)),
  "- " &amp; _xlpm.tipotxt &amp; ": *" &amp; G40 &amp; "*" &amp; CHAR(13)&amp;CHAR(10) &amp;
  "- " &amp; _xlpm.dimtxt &amp; CHAR(13)&amp;CHAR(10) &amp;
  "- *Cliente*: " &amp; J40 &amp; _xlpm.nfParte &amp; CHAR(13)&amp;CHAR(10) &amp;
  "- *Obs:* " &amp; Q40 &amp; CHAR(13)&amp;CHAR(10) &amp; CHAR(10) &amp;
  "- *De*: " &amp; _xlpm.deTxt &amp; CHAR(13)&amp;CHAR(10) &amp;
  "- *Para*: " &amp; _xlpm.paraTxt &amp; CHAR(13)&amp;CHAR(10) &amp;
  "- *Ida e volta*: +/- " &amp; TEXT(((D40*1.5)/1440),"h:mm") &amp; "h | " &amp; D40 &amp; "km"
)</f>
        <v>- TRATOR: *1BM5080ETS6204305*_x000D_
- _x000D_
- *Cliente*: SILO DO MALOCA -NF61894 -NF 45975_x000D_
- *Obs:* Conexão JD Estática + Jantar - São José da Boa Vista_x000D_
- *De*: MACPONTA AGRO DE ARAPOTI_x000D_
- *Para*: https://maps.app.goo.gl/TYsDXWU4kqkeGb8D6_x000D_
- *Ida e volta*: +/- 7:39h | 306km</v>
      </c>
    </row>
    <row r="41" spans="1:21" ht="14.4" x14ac:dyDescent="0.3">
      <c r="A41" s="12" t="s">
        <v>171</v>
      </c>
      <c r="B41" s="10" t="s">
        <v>84</v>
      </c>
      <c r="C41" s="97">
        <f t="shared" si="2"/>
        <v>0.31874999999999998</v>
      </c>
      <c r="D41" s="10">
        <v>306</v>
      </c>
      <c r="E41" s="98">
        <f>IFERROR((D41*6),"?")</f>
        <v>1836</v>
      </c>
      <c r="F41" s="99"/>
      <c r="G41" s="10" t="s">
        <v>255</v>
      </c>
      <c r="H41" s="100">
        <v>45975</v>
      </c>
      <c r="I41" s="101">
        <v>45975</v>
      </c>
      <c r="J41" s="10" t="s">
        <v>251</v>
      </c>
      <c r="K41" s="10" t="s">
        <v>168</v>
      </c>
      <c r="L41" s="10" t="s">
        <v>47</v>
      </c>
      <c r="M41" s="10" t="s">
        <v>109</v>
      </c>
      <c r="N41" s="12" t="s">
        <v>252</v>
      </c>
      <c r="O41" s="10" t="s">
        <v>111</v>
      </c>
      <c r="P41" s="137" t="s">
        <v>253</v>
      </c>
      <c r="Q41" s="10" t="s">
        <v>254</v>
      </c>
      <c r="R41" s="10" t="s">
        <v>47</v>
      </c>
      <c r="S41" s="10" t="s">
        <v>10</v>
      </c>
      <c r="T41" s="2" t="str">
        <f t="shared" si="4"/>
        <v>5080E</v>
      </c>
      <c r="U41" s="2" t="str" cm="1">
        <f t="array" ref="U41">_xlfn.LET(
  _xlpm.ch, TRIM(SUBSTITUTE(G41,CHAR(160),"")),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IF(L41="CLIENTE", O41, IF(LEFT(L41,4)="http", L41, "MACPONTA AGRO DE "&amp;L41)),
  _xlpm.paraBase, IF(M41="CLIENTE", P41, M41),
  _xlpm.paraTxt, IF(LEFT(_xlpm.paraBase,4)="http", _xlpm.paraBase, "MACPONTA AGRO DE "&amp;_xlpm.paraBase),
  _xlpm.nfParte, IF(LEN(TRIM(I41))=0, "", " -NF "&amp;TRIM(I41)),
  "- " &amp; _xlpm.tipotxt &amp; ": *" &amp; G41 &amp; "*" &amp; CHAR(13)&amp;CHAR(10) &amp;
  "- " &amp; _xlpm.dimtxt &amp; CHAR(13)&amp;CHAR(10) &amp;
  "- *Cliente*: " &amp; J41 &amp; _xlpm.nfParte &amp; CHAR(13)&amp;CHAR(10) &amp;
  "- *Obs:* " &amp; Q41 &amp; CHAR(13)&amp;CHAR(10) &amp; CHAR(10) &amp;
  "- *De*: " &amp; _xlpm.deTxt &amp; CHAR(13)&amp;CHAR(10) &amp;
  "- *Para*: " &amp; _xlpm.paraTxt &amp; CHAR(13)&amp;CHAR(10) &amp;
  "- *Ida e volta*: +/- " &amp; TEXT(((D41*1.5)/1440),"h:mm") &amp; "h | " &amp; D41 &amp; "km"
)</f>
        <v>- TRATOR: *1BM5080EVS4204226*_x000D_
- _x000D_
- *Cliente*: SILO DO MALOCA -NF61894 -NF 45975_x000D_
- *Obs:* Conexão JD Estática + Jantar - São José da Boa Vista_x000D_
- *De*: MACPONTA AGRO DE ARAPOTI_x000D_
- *Para*: https://maps.app.goo.gl/TYsDXWU4kqkeGb8D6_x000D_
- *Ida e volta*: +/- 7:39h | 306km</v>
      </c>
    </row>
    <row r="42" spans="1:21" ht="14.4" x14ac:dyDescent="0.3">
      <c r="A42" s="12" t="s">
        <v>171</v>
      </c>
      <c r="B42" s="10" t="s">
        <v>30</v>
      </c>
      <c r="C42" s="97">
        <f t="shared" si="2"/>
        <v>0.49791666666666667</v>
      </c>
      <c r="D42" s="10">
        <v>478</v>
      </c>
      <c r="E42" s="98"/>
      <c r="F42" s="99">
        <v>1600</v>
      </c>
      <c r="G42" s="10" t="s">
        <v>256</v>
      </c>
      <c r="H42" s="100">
        <v>45975</v>
      </c>
      <c r="I42" s="101">
        <v>45975</v>
      </c>
      <c r="J42" s="10" t="s">
        <v>251</v>
      </c>
      <c r="K42" s="10" t="s">
        <v>168</v>
      </c>
      <c r="L42" s="10" t="s">
        <v>49</v>
      </c>
      <c r="M42" s="10" t="s">
        <v>109</v>
      </c>
      <c r="N42" s="12" t="s">
        <v>252</v>
      </c>
      <c r="O42" s="10" t="s">
        <v>111</v>
      </c>
      <c r="P42" s="137" t="s">
        <v>253</v>
      </c>
      <c r="Q42" s="10" t="s">
        <v>254</v>
      </c>
      <c r="R42" s="10" t="s">
        <v>47</v>
      </c>
      <c r="S42" s="10" t="s">
        <v>8</v>
      </c>
      <c r="T42" s="2" t="str">
        <f t="shared" si="4"/>
        <v>FA25</v>
      </c>
      <c r="U42" s="2" t="str" cm="1">
        <f t="array" ref="U42">_xlfn.LET(
  _xlpm.ch, TRIM(SUBSTITUTE(G42,CHAR(160),"")),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IF(L42="CLIENTE", O42, IF(LEFT(L42,4)="http", L42, "MACPONTA AGRO DE "&amp;L42)),
  _xlpm.paraBase, IF(M42="CLIENTE", P42, M42),
  _xlpm.paraTxt, IF(LEFT(_xlpm.paraBase,4)="http", _xlpm.paraBase, "MACPONTA AGRO DE "&amp;_xlpm.paraBase),
  _xlpm.nfParte, IF(LEN(TRIM(I42))=0, "", " -NF "&amp;TRIM(I42)),
  "- " &amp; _xlpm.tipotxt &amp; ": *" &amp; G42 &amp; "*" &amp; CHAR(13)&amp;CHAR(10) &amp;
  "- " &amp; _xlpm.dimtxt &amp; CHAR(13)&amp;CHAR(10) &amp;
  "- *Cliente*: " &amp; J42 &amp; _xlpm.nfParte &amp; CHAR(13)&amp;CHAR(10) &amp;
  "- *Obs:* " &amp; Q42 &amp; CHAR(13)&amp;CHAR(10) &amp; CHAR(10) &amp;
  "- *De*: " &amp; _xlpm.deTxt &amp; CHAR(13)&amp;CHAR(10) &amp;
  "- *Para*: " &amp; _xlpm.paraTxt &amp; CHAR(13)&amp;CHAR(10) &amp;
  "- *Ida e volta*: +/- " &amp; TEXT(((D42*1.5)/1440),"h:mm") &amp; "h | " &amp; D42 &amp; "km"
)</f>
        <v>- PLATAFORMA: *1CQFA25APS0160156*_x000D_
- A:1,60 x C:7,60 x L:1,80-1,80 x P:2.100kg_x000D_
- *Cliente*: SILO DO MALOCA -NF61894 -NF 45975_x000D_
- *Obs:* Conexão JD Estática + Jantar - São José da Boa Vista_x000D_
- *De*: MACPONTA AGRO DE IRATI_x000D_
- *Para*: https://maps.app.goo.gl/TYsDXWU4kqkeGb8D6_x000D_
- *Ida e volta*: +/- 11:57h | 478km</v>
      </c>
    </row>
    <row r="43" spans="1:21" ht="14.4" x14ac:dyDescent="0.3">
      <c r="A43" s="12" t="s">
        <v>171</v>
      </c>
      <c r="B43" s="10" t="s">
        <v>30</v>
      </c>
      <c r="C43" s="97">
        <f t="shared" si="2"/>
        <v>0.49791666666666667</v>
      </c>
      <c r="D43" s="10">
        <v>478</v>
      </c>
      <c r="E43" s="98"/>
      <c r="F43" s="99">
        <v>3800</v>
      </c>
      <c r="G43" s="10" t="s">
        <v>257</v>
      </c>
      <c r="H43" s="100">
        <v>45975</v>
      </c>
      <c r="I43" s="101">
        <v>45975</v>
      </c>
      <c r="J43" s="10" t="s">
        <v>251</v>
      </c>
      <c r="K43" s="10" t="s">
        <v>168</v>
      </c>
      <c r="L43" s="10" t="s">
        <v>49</v>
      </c>
      <c r="M43" s="10" t="s">
        <v>109</v>
      </c>
      <c r="N43" s="12" t="s">
        <v>252</v>
      </c>
      <c r="O43" s="10" t="s">
        <v>111</v>
      </c>
      <c r="P43" s="137" t="s">
        <v>253</v>
      </c>
      <c r="Q43" s="10" t="s">
        <v>254</v>
      </c>
      <c r="R43" s="10" t="s">
        <v>47</v>
      </c>
      <c r="S43" s="10" t="s">
        <v>6</v>
      </c>
      <c r="T43" s="2" t="str">
        <f t="shared" si="4"/>
        <v>S440</v>
      </c>
      <c r="U43" s="2" t="str" cm="1">
        <f t="array" ref="U43">_xlfn.LET(
  _xlpm.ch, TRIM(SUBSTITUTE(G43,CHAR(160),"")),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IF(L43="CLIENTE", O43, IF(LEFT(L43,4)="http", L43, "MACPONTA AGRO DE "&amp;L43)),
  _xlpm.paraBase, IF(M43="CLIENTE", P43, M43),
  _xlpm.paraTxt, IF(LEFT(_xlpm.paraBase,4)="http", _xlpm.paraBase, "MACPONTA AGRO DE "&amp;_xlpm.paraBase),
  _xlpm.nfParte, IF(LEN(TRIM(I43))=0, "", " -NF "&amp;TRIM(I43)),
  "- " &amp; _xlpm.tipotxt &amp; ": *" &amp; G43 &amp; "*" &amp; CHAR(13)&amp;CHAR(10) &amp;
  "- " &amp; _xlpm.dimtxt &amp; CHAR(13)&amp;CHAR(10) &amp;
  "- *Cliente*: " &amp; J43 &amp; _xlpm.nfParte &amp; CHAR(13)&amp;CHAR(10) &amp;
  "- *Obs:* " &amp; Q43 &amp; CHAR(13)&amp;CHAR(10) &amp; CHAR(10) &amp;
  "- *De*: " &amp; _xlpm.deTxt &amp; CHAR(13)&amp;CHAR(10) &amp;
  "- *Para*: " &amp; _xlpm.paraTxt &amp; CHAR(13)&amp;CHAR(10) &amp;
  "- *Ida e volta*: +/- " &amp; TEXT(((D43*1.5)/1440),"h:mm") &amp; "h | " &amp; D43 &amp; "km"
)</f>
        <v>- COLHEITADEIRA: *1CQS440ACS0155147*_x000D_
- A:4,10 x C:7,70 x L:3,40-4,10 x P:11.800kg_x000D_
- *Cliente*: SILO DO MALOCA -NF61894 -NF 45975_x000D_
- *Obs:* Conexão JD Estática + Jantar - São José da Boa Vista_x000D_
- *De*: MACPONTA AGRO DE IRATI_x000D_
- *Para*: https://maps.app.goo.gl/TYsDXWU4kqkeGb8D6_x000D_
- *Ida e volta*: +/- 11:57h | 478km</v>
      </c>
    </row>
    <row r="44" spans="1:21" ht="14.4" x14ac:dyDescent="0.3">
      <c r="A44" s="12" t="s">
        <v>171</v>
      </c>
      <c r="B44" s="10" t="s">
        <v>84</v>
      </c>
      <c r="C44" s="97">
        <f t="shared" si="2"/>
        <v>0.31874999999999998</v>
      </c>
      <c r="D44" s="10">
        <v>306</v>
      </c>
      <c r="E44" s="98">
        <f>IFERROR((D44*6),"?")</f>
        <v>1836</v>
      </c>
      <c r="F44" s="99"/>
      <c r="G44" s="10" t="s">
        <v>250</v>
      </c>
      <c r="H44" s="100">
        <v>45978</v>
      </c>
      <c r="I44" s="101">
        <v>45978</v>
      </c>
      <c r="J44" s="139" t="s">
        <v>258</v>
      </c>
      <c r="K44" s="10" t="s">
        <v>168</v>
      </c>
      <c r="L44" s="10" t="s">
        <v>47</v>
      </c>
      <c r="M44" s="10" t="s">
        <v>109</v>
      </c>
      <c r="N44" s="12" t="s">
        <v>252</v>
      </c>
      <c r="O44" s="10" t="s">
        <v>111</v>
      </c>
      <c r="P44" s="102" t="s">
        <v>253</v>
      </c>
      <c r="Q44" s="10" t="s">
        <v>254</v>
      </c>
      <c r="R44" s="10" t="s">
        <v>47</v>
      </c>
      <c r="S44" s="10" t="s">
        <v>10</v>
      </c>
      <c r="T44" s="2" t="str">
        <f t="shared" si="4"/>
        <v>5080E</v>
      </c>
      <c r="U44" s="2" t="str" cm="1">
        <f t="array" ref="U44">_xlfn.LET(
  _xlpm.ch, TRIM(SUBSTITUTE(G44,CHAR(160),"")),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IF(L44="CLIENTE", O44, IF(LEFT(L44,4)="http", L44, "MACPONTA AGRO DE "&amp;L44)),
  _xlpm.paraBase, IF(M44="CLIENTE", P44, M44),
  _xlpm.paraTxt, IF(LEFT(_xlpm.paraBase,4)="http", _xlpm.paraBase, "MACPONTA AGRO DE "&amp;_xlpm.paraBase),
  _xlpm.nfParte, IF(LEN(TRIM(I44))=0, "", " -NF "&amp;TRIM(I44)),
  "- " &amp; _xlpm.tipotxt &amp; ": *" &amp; G44 &amp; "*" &amp; CHAR(13)&amp;CHAR(10) &amp;
  "- " &amp; _xlpm.dimtxt &amp; CHAR(13)&amp;CHAR(10) &amp;
  "- *Cliente*: " &amp; J44 &amp; _xlpm.nfParte &amp; CHAR(13)&amp;CHAR(10) &amp;
  "- *Obs:* " &amp; Q44 &amp; CHAR(13)&amp;CHAR(10) &amp; CHAR(10) &amp;
  "- *De*: " &amp; _xlpm.deTxt &amp; CHAR(13)&amp;CHAR(10) &amp;
  "- *Para*: " &amp; _xlpm.paraTxt &amp; CHAR(13)&amp;CHAR(10) &amp;
  "- *Ida e volta*: +/- " &amp; TEXT(((D44*1.5)/1440),"h:mm") &amp; "h | " &amp; D44 &amp; "km"
)</f>
        <v>- TRATOR: *1BM5080ETS6204305*_x000D_
- _x000D_
- *Cliente*: SILO DO MALOCA -NF61894 VOLTA -NF 45978_x000D_
- *Obs:* Conexão JD Estática + Jantar - São José da Boa Vista_x000D_
- *De*: MACPONTA AGRO DE ARAPOTI_x000D_
- *Para*: https://maps.app.goo.gl/TYsDXWU4kqkeGb8D6_x000D_
- *Ida e volta*: +/- 7:39h | 306km</v>
      </c>
    </row>
    <row r="45" spans="1:21" ht="14.4" x14ac:dyDescent="0.3">
      <c r="A45" s="12" t="s">
        <v>171</v>
      </c>
      <c r="B45" s="10" t="s">
        <v>84</v>
      </c>
      <c r="C45" s="97">
        <f t="shared" si="2"/>
        <v>0.31874999999999998</v>
      </c>
      <c r="D45" s="10">
        <v>306</v>
      </c>
      <c r="E45" s="98">
        <f>IFERROR((D45*6),"?")</f>
        <v>1836</v>
      </c>
      <c r="F45" s="99"/>
      <c r="G45" s="10" t="s">
        <v>255</v>
      </c>
      <c r="H45" s="100">
        <v>45978</v>
      </c>
      <c r="I45" s="101">
        <v>45978</v>
      </c>
      <c r="J45" s="139" t="s">
        <v>258</v>
      </c>
      <c r="K45" s="10" t="s">
        <v>168</v>
      </c>
      <c r="L45" s="10" t="s">
        <v>47</v>
      </c>
      <c r="M45" s="10" t="s">
        <v>109</v>
      </c>
      <c r="N45" s="12" t="s">
        <v>252</v>
      </c>
      <c r="O45" s="10" t="s">
        <v>111</v>
      </c>
      <c r="P45" s="102" t="s">
        <v>253</v>
      </c>
      <c r="Q45" s="10" t="s">
        <v>254</v>
      </c>
      <c r="R45" s="10" t="s">
        <v>47</v>
      </c>
      <c r="S45" s="10" t="s">
        <v>10</v>
      </c>
      <c r="T45" s="151" t="str">
        <f t="shared" si="4"/>
        <v>5080E</v>
      </c>
      <c r="U45" s="151" t="str" cm="1">
        <f t="array" ref="U45">_xlfn.LET(
  _xlpm.ch, TRIM(SUBSTITUTE(G45,CHAR(160),"")),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IF(L45="CLIENTE", O45, IF(LEFT(L45,4)="http", L45, "MACPONTA AGRO DE "&amp;L45)),
  _xlpm.paraBase, IF(M45="CLIENTE", P45, M45),
  _xlpm.paraTxt, IF(LEFT(_xlpm.paraBase,4)="http", _xlpm.paraBase, "MACPONTA AGRO DE "&amp;_xlpm.paraBase),
  _xlpm.nfParte, IF(LEN(TRIM(I45))=0, "", " -NF "&amp;TRIM(I45)),
  "- " &amp; _xlpm.tipotxt &amp; ": *" &amp; G45 &amp; "*" &amp; CHAR(13)&amp;CHAR(10) &amp;
  "- " &amp; _xlpm.dimtxt &amp; CHAR(13)&amp;CHAR(10) &amp;
  "- *Cliente*: " &amp; J45 &amp; _xlpm.nfParte &amp; CHAR(13)&amp;CHAR(10) &amp;
  "- *Obs:* " &amp; Q45 &amp; CHAR(13)&amp;CHAR(10) &amp; CHAR(10) &amp;
  "- *De*: " &amp; _xlpm.deTxt &amp; CHAR(13)&amp;CHAR(10) &amp;
  "- *Para*: " &amp; _xlpm.paraTxt &amp; CHAR(13)&amp;CHAR(10) &amp;
  "- *Ida e volta*: +/- " &amp; TEXT(((D45*1.5)/1440),"h:mm") &amp; "h | " &amp; D45 &amp; "km"
)</f>
        <v>- TRATOR: *1BM5080EVS4204226*_x000D_
- _x000D_
- *Cliente*: SILO DO MALOCA -NF61894 VOLTA -NF 45978_x000D_
- *Obs:* Conexão JD Estática + Jantar - São José da Boa Vista_x000D_
- *De*: MACPONTA AGRO DE ARAPOTI_x000D_
- *Para*: https://maps.app.goo.gl/TYsDXWU4kqkeGb8D6_x000D_
- *Ida e volta*: +/- 7:39h | 306km</v>
      </c>
    </row>
    <row r="46" spans="1:21" ht="14.4" x14ac:dyDescent="0.3">
      <c r="A46" s="12" t="s">
        <v>171</v>
      </c>
      <c r="B46" s="10" t="s">
        <v>84</v>
      </c>
      <c r="C46" s="97">
        <f t="shared" si="2"/>
        <v>0.20833333333333334</v>
      </c>
      <c r="D46" s="10">
        <v>200</v>
      </c>
      <c r="E46" s="98">
        <f>IFERROR((D46*6),"?")</f>
        <v>1200</v>
      </c>
      <c r="F46" s="99"/>
      <c r="G46" s="10" t="s">
        <v>259</v>
      </c>
      <c r="H46" s="100">
        <v>45979</v>
      </c>
      <c r="I46" s="101">
        <v>45979</v>
      </c>
      <c r="J46" s="10" t="s">
        <v>260</v>
      </c>
      <c r="K46" s="10" t="s">
        <v>168</v>
      </c>
      <c r="L46" s="10" t="s">
        <v>109</v>
      </c>
      <c r="M46" s="10" t="s">
        <v>109</v>
      </c>
      <c r="N46" s="12" t="s">
        <v>261</v>
      </c>
      <c r="O46" s="10"/>
      <c r="P46" s="137" t="s">
        <v>262</v>
      </c>
      <c r="Q46" s="10"/>
      <c r="R46" s="10" t="s">
        <v>47</v>
      </c>
      <c r="S46" s="10" t="s">
        <v>10</v>
      </c>
      <c r="T46" s="2" t="str">
        <f t="shared" si="4"/>
        <v>7230C</v>
      </c>
      <c r="U46" s="2" t="str" cm="1">
        <f t="array" ref="U46">_xlfn.LET(
  _xlpm.ch, TRIM(SUBSTITUTE(G46,CHAR(160),"")),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IF(L46="CLIENTE", O46, IF(LEFT(L46,4)="http", L46, "MACPONTA AGRO DE "&amp;L46)),
  _xlpm.paraBase, IF(M46="CLIENTE", P46, M46),
  _xlpm.paraTxt, IF(LEFT(_xlpm.paraBase,4)="http", _xlpm.paraBase, "MACPONTA AGRO DE "&amp;_xlpm.paraBase),
  _xlpm.nfParte, IF(LEN(TRIM(I46))=0, "", " -NF "&amp;TRIM(I46)),
  "- " &amp; _xlpm.tipotxt &amp; ": *" &amp; G46 &amp; "*" &amp; CHAR(13)&amp;CHAR(10) &amp;
  "- " &amp; _xlpm.dimtxt &amp; CHAR(13)&amp;CHAR(10) &amp;
  "- *Cliente*: " &amp; J46 &amp; _xlpm.nfParte &amp; CHAR(13)&amp;CHAR(10) &amp;
  "- *Obs:* " &amp; Q46 &amp; CHAR(13)&amp;CHAR(10) &amp; CHAR(10) &amp;
  "- *De*: " &amp; _xlpm.deTxt &amp; CHAR(13)&amp;CHAR(10) &amp;
  "- *Para*: " &amp; _xlpm.paraTxt &amp; CHAR(13)&amp;CHAR(10) &amp;
  "- *Ida e volta*: +/- " &amp; TEXT(((D46*1.5)/1440),"h:mm") &amp; "h | " &amp; D46 &amp; "km"
)</f>
        <v>- TRATOR: *1BM7230CVS3001962*_x000D_
- _x000D_
- *Cliente*: FAZENDINHA -NF61895 -NF 45979_x000D_
- *Obs:* _x000D_
- *De*: _x000D_
- *Para*: https://maps.app.goo.gl/HAQzMitpSPVxhKFi9_x000D_
- *Ida e volta*: +/- 5:00h | 200km</v>
      </c>
    </row>
    <row r="47" spans="1:21" ht="14.4" x14ac:dyDescent="0.3">
      <c r="A47" s="12" t="s">
        <v>105</v>
      </c>
      <c r="B47" s="10" t="s">
        <v>28</v>
      </c>
      <c r="C47" s="97">
        <f t="shared" si="2"/>
        <v>0.76354166666666667</v>
      </c>
      <c r="D47" s="10">
        <v>733</v>
      </c>
      <c r="E47" s="98"/>
      <c r="F47" s="99">
        <v>9600</v>
      </c>
      <c r="G47" s="10" t="s">
        <v>263</v>
      </c>
      <c r="H47" s="100">
        <v>45979</v>
      </c>
      <c r="I47" s="101">
        <v>45979</v>
      </c>
      <c r="J47" s="10" t="s">
        <v>264</v>
      </c>
      <c r="K47" s="10" t="s">
        <v>124</v>
      </c>
      <c r="L47" s="10" t="s">
        <v>125</v>
      </c>
      <c r="M47" s="10" t="s">
        <v>109</v>
      </c>
      <c r="N47" s="12" t="s">
        <v>110</v>
      </c>
      <c r="O47" s="10" t="s">
        <v>111</v>
      </c>
      <c r="P47" s="138" t="s">
        <v>265</v>
      </c>
      <c r="Q47" s="10" t="s">
        <v>266</v>
      </c>
      <c r="R47" s="10" t="s">
        <v>125</v>
      </c>
      <c r="S47" s="10" t="s">
        <v>9</v>
      </c>
      <c r="T47" s="2" t="str">
        <f t="shared" si="4"/>
        <v>4030</v>
      </c>
      <c r="U47" s="2" t="str" cm="1">
        <f t="array" ref="U47">_xlfn.LET(
  _xlpm.ch, TRIM(SUBSTITUTE(G47,CHAR(160),"")),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IF(L47="CLIENTE", O47, IF(LEFT(L47,4)="http", L47, "MACPONTA AGRO DE "&amp;L47)),
  _xlpm.paraBase, IF(M47="CLIENTE", P47, M47),
  _xlpm.paraTxt, IF(LEFT(_xlpm.paraBase,4)="http", _xlpm.paraBase, "MACPONTA AGRO DE "&amp;_xlpm.paraBase),
  _xlpm.nfParte, IF(LEN(TRIM(I47))=0, "", " -NF "&amp;TRIM(I47)),
  "- " &amp; _xlpm.tipotxt &amp; ": *" &amp; G47 &amp; "*" &amp; CHAR(13)&amp;CHAR(10) &amp;
  "- " &amp; _xlpm.dimtxt &amp; CHAR(13)&amp;CHAR(10) &amp;
  "- *Cliente*: " &amp; J47 &amp; _xlpm.nfParte &amp; CHAR(13)&amp;CHAR(10) &amp;
  "- *Obs:* " &amp; Q47 &amp; CHAR(13)&amp;CHAR(10) &amp; CHAR(10) &amp;
  "- *De*: " &amp; _xlpm.deTxt &amp; CHAR(13)&amp;CHAR(10) &amp;
  "- *Para*: " &amp; _xlpm.paraTxt &amp; CHAR(13)&amp;CHAR(10) &amp;
  "- *Ida e volta*: +/- " &amp; TEXT(((D47*1.5)/1440),"h:mm") &amp; "h | " &amp; D47 &amp; "km"
)</f>
        <v>- PULVERIZADOR: *1NW4030MES0250870*_x000D_
- A:3,35 x C:7,50 x L:3,12-3,94 x P:10.000kg_x000D_
- *Cliente*: VIKTOR LEH -NF107863 - AET ESP+ESCOLTA -NF 45979_x000D_
- *Obs:* Viktor _x000D_
- *De*: MACPONTA AGRO DE GUARAPUAVA_x000D_
- *Para*: https://maps.app.goo.gl/CR8ypB1Pd9ZCuWzE6_x000D_
- *Ida e volta*: +/- 18:19h | 733km</v>
      </c>
    </row>
    <row r="48" spans="1:21" ht="14.4" x14ac:dyDescent="0.3">
      <c r="A48" s="12" t="s">
        <v>171</v>
      </c>
      <c r="B48" s="10" t="s">
        <v>29</v>
      </c>
      <c r="C48" s="97">
        <f t="shared" si="2"/>
        <v>0.19479166666666667</v>
      </c>
      <c r="D48" s="10">
        <v>187</v>
      </c>
      <c r="E48" s="98"/>
      <c r="F48" s="99">
        <v>2000</v>
      </c>
      <c r="G48" s="10" t="s">
        <v>267</v>
      </c>
      <c r="H48" s="100">
        <v>45979</v>
      </c>
      <c r="I48" s="101">
        <v>45979</v>
      </c>
      <c r="J48" s="10" t="s">
        <v>260</v>
      </c>
      <c r="K48" s="10" t="s">
        <v>168</v>
      </c>
      <c r="L48" s="10" t="s">
        <v>47</v>
      </c>
      <c r="M48" s="10" t="s">
        <v>109</v>
      </c>
      <c r="N48" s="12" t="s">
        <v>119</v>
      </c>
      <c r="O48" s="10" t="s">
        <v>111</v>
      </c>
      <c r="P48" s="137" t="s">
        <v>262</v>
      </c>
      <c r="Q48" s="10"/>
      <c r="R48" s="10" t="s">
        <v>47</v>
      </c>
      <c r="S48" s="10" t="s">
        <v>7</v>
      </c>
      <c r="T48" s="2" t="str">
        <f t="shared" si="4"/>
        <v>1213</v>
      </c>
      <c r="U48" s="2" t="str" cm="1">
        <f t="array" ref="U48">_xlfn.LET(
  _xlpm.ch, TRIM(SUBSTITUTE(G48,CHAR(160),"")),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IF(L48="CLIENTE", O48, IF(LEFT(L48,4)="http", L48, "MACPONTA AGRO DE "&amp;L48)),
  _xlpm.paraBase, IF(M48="CLIENTE", P48, M48),
  _xlpm.paraTxt, IF(LEFT(_xlpm.paraBase,4)="http", _xlpm.paraBase, "MACPONTA AGRO DE "&amp;_xlpm.paraBase),
  _xlpm.nfParte, IF(LEN(TRIM(I48))=0, "", " -NF "&amp;TRIM(I48)),
  "- " &amp; _xlpm.tipotxt &amp; ": *" &amp; G48 &amp; "*" &amp; CHAR(13)&amp;CHAR(10) &amp;
  "- " &amp; _xlpm.dimtxt &amp; CHAR(13)&amp;CHAR(10) &amp;
  "- *Cliente*: " &amp; J48 &amp; _xlpm.nfParte &amp; CHAR(13)&amp;CHAR(10) &amp;
  "- *Obs:* " &amp; Q48 &amp; CHAR(13)&amp;CHAR(10) &amp; CHAR(10) &amp;
  "- *De*: " &amp; _xlpm.deTxt &amp; CHAR(13)&amp;CHAR(10) &amp;
  "- *Para*: " &amp; _xlpm.paraTxt &amp; CHAR(13)&amp;CHAR(10) &amp;
  "- *Ida e volta*: +/- " &amp; TEXT(((D48*1.5)/1440),"h:mm") &amp; "h | " &amp; D48 &amp; "km"
)</f>
        <v>- PLANTADEIRA: *1CQ1213AHS0155196*_x000D_
- A:2,45 x C:7,00 x L:3,20-3,20 x P:6.025kg_x000D_
- *Cliente*: FAZENDINHA -NF61895 -NF 45979_x000D_
- *Obs:* _x000D_
- *De*: MACPONTA AGRO DE ARAPOTI_x000D_
- *Para*: https://maps.app.goo.gl/HAQzMitpSPVxhKFi9_x000D_
- *Ida e volta*: +/- 4:40h | 187km</v>
      </c>
    </row>
    <row r="49" spans="1:21" ht="14.4" x14ac:dyDescent="0.3">
      <c r="A49" s="12" t="s">
        <v>268</v>
      </c>
      <c r="B49" s="10" t="s">
        <v>29</v>
      </c>
      <c r="C49" s="97">
        <f t="shared" si="2"/>
        <v>0.49791666666666667</v>
      </c>
      <c r="D49" s="10">
        <v>478</v>
      </c>
      <c r="E49" s="98"/>
      <c r="F49" s="99">
        <v>300</v>
      </c>
      <c r="G49" s="10" t="s">
        <v>256</v>
      </c>
      <c r="H49" s="100">
        <v>45979</v>
      </c>
      <c r="I49" s="101"/>
      <c r="J49" s="139" t="s">
        <v>258</v>
      </c>
      <c r="K49" s="10" t="s">
        <v>168</v>
      </c>
      <c r="L49" s="10" t="s">
        <v>49</v>
      </c>
      <c r="M49" s="10" t="s">
        <v>109</v>
      </c>
      <c r="N49" s="12" t="s">
        <v>252</v>
      </c>
      <c r="O49" s="10" t="s">
        <v>111</v>
      </c>
      <c r="P49" s="102" t="s">
        <v>253</v>
      </c>
      <c r="Q49" s="10" t="s">
        <v>254</v>
      </c>
      <c r="R49" s="10" t="s">
        <v>47</v>
      </c>
      <c r="S49" s="10" t="s">
        <v>8</v>
      </c>
      <c r="T49" s="2" t="str">
        <f t="shared" si="4"/>
        <v>FA25</v>
      </c>
      <c r="U49" s="2" t="str" cm="1">
        <f t="array" ref="U49">_xlfn.LET(
  _xlpm.ch, TRIM(SUBSTITUTE(G49,CHAR(160),"")),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TRIM(SUBSTITUTE(T49,CHAR(160),"")),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IF(L49="CLIENTE", O49, IF(LEFT(L49,4)="http", L49, "MACPONTA AGRO DE "&amp;L49)),
  _xlpm.paraBase, IF(M49="CLIENTE", P49, M49),
  _xlpm.paraTxt, IF(LEFT(_xlpm.paraBase,4)="http", _xlpm.paraBase, "MACPONTA AGRO DE "&amp;_xlpm.paraBase),
  _xlpm.nfParte, IF(LEN(TRIM(I49))=0, "", " -NF "&amp;TRIM(I49)),
  "- " &amp; _xlpm.tipotxt &amp; ": *" &amp; G49 &amp; "*" &amp; CHAR(13)&amp;CHAR(10) &amp;
  "- " &amp; _xlpm.dimtxt &amp; CHAR(13)&amp;CHAR(10) &amp;
  "- *Cliente*: " &amp; J49 &amp; _xlpm.nfParte &amp; CHAR(13)&amp;CHAR(10) &amp;
  "- *Obs:* " &amp; Q49 &amp; CHAR(13)&amp;CHAR(10) &amp; CHAR(10) &amp;
  "- *De*: " &amp; _xlpm.deTxt &amp; CHAR(13)&amp;CHAR(10) &amp;
  "- *Para*: " &amp; _xlpm.paraTxt &amp; CHAR(13)&amp;CHAR(10) &amp;
  "- *Ida e volta*: +/- " &amp; TEXT(((D49*1.5)/1440),"h:mm") &amp; "h | " &amp; D49 &amp; "km"
)</f>
        <v>- PLATAFORMA: *1CQFA25APS0160156*_x000D_
- A:1,60 x C:7,60 x L:1,80-1,80 x P:2.100kg_x000D_
- *Cliente*: SILO DO MALOCA -NF61894 VOLTA_x000D_
- *Obs:* Conexão JD Estática + Jantar - São José da Boa Vista_x000D_
- *De*: MACPONTA AGRO DE IRATI_x000D_
- *Para*: https://maps.app.goo.gl/TYsDXWU4kqkeGb8D6_x000D_
- *Ida e volta*: +/- 11:57h | 478km</v>
      </c>
    </row>
    <row r="50" spans="1:21" ht="14.4" x14ac:dyDescent="0.3">
      <c r="A50" s="12" t="s">
        <v>268</v>
      </c>
      <c r="B50" s="10" t="s">
        <v>29</v>
      </c>
      <c r="C50" s="97">
        <f t="shared" si="2"/>
        <v>0.49791666666666667</v>
      </c>
      <c r="D50" s="10">
        <v>478</v>
      </c>
      <c r="E50" s="98"/>
      <c r="F50" s="99">
        <v>900</v>
      </c>
      <c r="G50" s="10" t="s">
        <v>257</v>
      </c>
      <c r="H50" s="100">
        <v>45979</v>
      </c>
      <c r="I50" s="101"/>
      <c r="J50" s="139" t="s">
        <v>258</v>
      </c>
      <c r="K50" s="10" t="s">
        <v>168</v>
      </c>
      <c r="L50" s="10" t="s">
        <v>49</v>
      </c>
      <c r="M50" s="10" t="s">
        <v>109</v>
      </c>
      <c r="N50" s="12" t="s">
        <v>252</v>
      </c>
      <c r="O50" s="10" t="s">
        <v>111</v>
      </c>
      <c r="P50" s="102" t="s">
        <v>253</v>
      </c>
      <c r="Q50" s="10" t="s">
        <v>254</v>
      </c>
      <c r="R50" s="10" t="s">
        <v>47</v>
      </c>
      <c r="S50" s="10" t="s">
        <v>6</v>
      </c>
      <c r="T50" s="2" t="str">
        <f t="shared" ref="T50:T52" si="5">IF(
  OR(
    IFERROR(FIND("BM",G50),0)&gt;0,
    IFERROR(FIND("PY",G50),0)&gt;0
  ),
  MID(TRIM(SUBSTITUTE(SUBSTITUTE(G50,CHAR(160),""),CHAR(9),"")),4,5),
  MID(TRIM(SUBSTITUTE(SUBSTITUTE(G50,CHAR(160),""),CHAR(9),"")),4,4)
)</f>
        <v>S440</v>
      </c>
      <c r="U50" s="2" t="str" cm="1">
        <f t="array" ref="U50">_xlfn.LET(
  _xlpm.ch, TRIM(SUBSTITUTE(G50,CHAR(160),"")),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IF(L50="CLIENTE", O50, IF(LEFT(L50,4)="http", L50, "MACPONTA AGRO DE "&amp;L50)),
  _xlpm.paraBase, IF(M50="CLIENTE", P50, M50),
  _xlpm.paraTxt, IF(LEFT(_xlpm.paraBase,4)="http", _xlpm.paraBase, "MACPONTA AGRO DE "&amp;_xlpm.paraBase),
  _xlpm.nfParte, IF(LEN(TRIM(I50))=0, "", " -NF "&amp;TRIM(I50)),
  "- " &amp; _xlpm.tipotxt &amp; ": *" &amp; G50 &amp; "*" &amp; CHAR(13)&amp;CHAR(10) &amp;
  "- " &amp; _xlpm.dimtxt &amp; CHAR(13)&amp;CHAR(10) &amp;
  "- *Cliente*: " &amp; J50 &amp; _xlpm.nfParte &amp; CHAR(13)&amp;CHAR(10) &amp;
  "- *Obs:* " &amp; Q50 &amp; CHAR(13)&amp;CHAR(10) &amp; CHAR(10) &amp;
  "- *De*: " &amp; _xlpm.deTxt &amp; CHAR(13)&amp;CHAR(10) &amp;
  "- *Para*: " &amp; _xlpm.paraTxt &amp; CHAR(13)&amp;CHAR(10) &amp;
  "- *Ida e volta*: +/- " &amp; TEXT(((D50*1.5)/1440),"h:mm") &amp; "h | " &amp; D50 &amp; "km"
)</f>
        <v>- COLHEITADEIRA: *1CQS440ACS0155147*_x000D_
- A:4,10 x C:7,70 x L:3,40-4,10 x P:11.800kg_x000D_
- *Cliente*: SILO DO MALOCA -NF61894 VOLTA_x000D_
- *Obs:* Conexão JD Estática + Jantar - São José da Boa Vista_x000D_
- *De*: MACPONTA AGRO DE IRATI_x000D_
- *Para*: https://maps.app.goo.gl/TYsDXWU4kqkeGb8D6_x000D_
- *Ida e volta*: +/- 11:57h | 478km</v>
      </c>
    </row>
    <row r="51" spans="1:21" ht="14.4" x14ac:dyDescent="0.3">
      <c r="A51" s="12" t="s">
        <v>269</v>
      </c>
      <c r="B51" s="10" t="s">
        <v>29</v>
      </c>
      <c r="C51" s="97">
        <f t="shared" si="2"/>
        <v>2.2916666666666665E-2</v>
      </c>
      <c r="D51" s="10">
        <v>22</v>
      </c>
      <c r="E51" s="98"/>
      <c r="F51" s="99">
        <v>400</v>
      </c>
      <c r="G51" s="10" t="s">
        <v>270</v>
      </c>
      <c r="H51" s="100">
        <v>45980</v>
      </c>
      <c r="I51" s="101"/>
      <c r="J51" s="10" t="s">
        <v>271</v>
      </c>
      <c r="K51" s="10" t="s">
        <v>168</v>
      </c>
      <c r="L51" s="10" t="s">
        <v>47</v>
      </c>
      <c r="M51" s="10" t="s">
        <v>109</v>
      </c>
      <c r="N51" s="12" t="s">
        <v>110</v>
      </c>
      <c r="O51" s="10" t="s">
        <v>111</v>
      </c>
      <c r="P51" s="138" t="s">
        <v>272</v>
      </c>
      <c r="Q51" s="10" t="s">
        <v>273</v>
      </c>
      <c r="R51" s="10" t="s">
        <v>47</v>
      </c>
      <c r="S51" s="10" t="s">
        <v>8</v>
      </c>
      <c r="T51" s="151" t="str">
        <f t="shared" si="5"/>
        <v>RD30</v>
      </c>
      <c r="U51" s="151" t="str" cm="1">
        <f t="array" ref="U51">_xlfn.LET(
  _xlpm.ch, TRIM(SUBSTITUTE(G51,CHAR(160),"")),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IF(L51="CLIENTE", O51, IF(LEFT(L51,4)="http", L51, "MACPONTA AGRO DE "&amp;L51)),
  _xlpm.paraBase, IF(M51="CLIENTE", P51, M51),
  _xlpm.paraTxt, IF(LEFT(_xlpm.paraBase,4)="http", _xlpm.paraBase, "MACPONTA AGRO DE "&amp;_xlpm.paraBase),
  _xlpm.nfParte, IF(LEN(TRIM(I51))=0, "", " -NF "&amp;TRIM(I51)),
  "- " &amp; _xlpm.tipotxt &amp; ": *" &amp; G51 &amp; "*" &amp; CHAR(13)&amp;CHAR(10) &amp;
  "- " &amp; _xlpm.dimtxt &amp; CHAR(13)&amp;CHAR(10) &amp;
  "- *Cliente*: " &amp; J51 &amp; _xlpm.nfParte &amp; CHAR(13)&amp;CHAR(10) &amp;
  "- *Obs:* " &amp; Q51 &amp; CHAR(13)&amp;CHAR(10) &amp; CHAR(10) &amp;
  "- *De*: " &amp; _xlpm.deTxt &amp; CHAR(13)&amp;CHAR(10) &amp;
  "- *Para*: " &amp; _xlpm.paraTxt &amp; CHAR(13)&amp;CHAR(10) &amp;
  "- *Ida e volta*: +/- " &amp; TEXT(((D51*1.5)/1440),"h:mm") &amp; "h | " &amp; D51 &amp; "km"
)</f>
        <v>- PLATAFORMA: *1CQRD30AVS0160116*_x000D_
- A:1,60 x C:9,14 x L:2,20-2,20 x P:4.200kg_x000D_
- *Cliente*: JAN NOORDEGRAAF NETO -NF61591_x000D_
- *Obs:* JAN NOORDEGRAAF NETO 042999791942 - CEN PAULO HOPATA_x000D_
- *De*: MACPONTA AGRO DE ARAPOTI_x000D_
- *Para*: https://maps.app.goo.gl/w2FYcAi8ZYYfJ88Y8_x000D_
- *Ida e volta*: +/- 0:33h | 22km</v>
      </c>
    </row>
    <row r="52" spans="1:21" ht="14.4" x14ac:dyDescent="0.3">
      <c r="A52" s="12" t="s">
        <v>269</v>
      </c>
      <c r="B52" s="10" t="s">
        <v>29</v>
      </c>
      <c r="C52" s="97">
        <f t="shared" si="2"/>
        <v>2.2916666666666665E-2</v>
      </c>
      <c r="D52" s="10">
        <v>22</v>
      </c>
      <c r="E52" s="98"/>
      <c r="F52" s="99">
        <v>800</v>
      </c>
      <c r="G52" s="10" t="s">
        <v>274</v>
      </c>
      <c r="H52" s="100">
        <v>45980</v>
      </c>
      <c r="I52" s="101"/>
      <c r="J52" s="10" t="s">
        <v>271</v>
      </c>
      <c r="K52" s="10" t="s">
        <v>168</v>
      </c>
      <c r="L52" s="10" t="s">
        <v>47</v>
      </c>
      <c r="M52" s="10" t="s">
        <v>109</v>
      </c>
      <c r="N52" s="12" t="s">
        <v>110</v>
      </c>
      <c r="O52" s="10" t="s">
        <v>111</v>
      </c>
      <c r="P52" s="138" t="s">
        <v>272</v>
      </c>
      <c r="Q52" s="10" t="s">
        <v>273</v>
      </c>
      <c r="R52" s="10" t="s">
        <v>47</v>
      </c>
      <c r="S52" s="10" t="s">
        <v>6</v>
      </c>
      <c r="T52" s="151" t="str">
        <f t="shared" si="5"/>
        <v>S550</v>
      </c>
      <c r="U52" s="151" t="str" cm="1">
        <f t="array" ref="U52">_xlfn.LET(
  _xlpm.ch, TRIM(SUBSTITUTE(G52,CHAR(160),"")),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IF(L52="CLIENTE", O52, IF(LEFT(L52,4)="http", L52, "MACPONTA AGRO DE "&amp;L52)),
  _xlpm.paraBase, IF(M52="CLIENTE", P52, M52),
  _xlpm.paraTxt, IF(LEFT(_xlpm.paraBase,4)="http", _xlpm.paraBase, "MACPONTA AGRO DE "&amp;_xlpm.paraBase),
  _xlpm.nfParte, IF(LEN(TRIM(I52))=0, "", " -NF "&amp;TRIM(I52)),
  "- " &amp; _xlpm.tipotxt &amp; ": *" &amp; G52 &amp; "*" &amp; CHAR(13)&amp;CHAR(10) &amp;
  "- " &amp; _xlpm.dimtxt &amp; CHAR(13)&amp;CHAR(10) &amp;
  "- *Cliente*: " &amp; J52 &amp; _xlpm.nfParte &amp; CHAR(13)&amp;CHAR(10) &amp;
  "- *Obs:* " &amp; Q52 &amp; CHAR(13)&amp;CHAR(10) &amp; CHAR(10) &amp;
  "- *De*: " &amp; _xlpm.deTxt &amp; CHAR(13)&amp;CHAR(10) &amp;
  "- *Para*: " &amp; _xlpm.paraTxt &amp; CHAR(13)&amp;CHAR(10) &amp;
  "- *Ida e volta*: +/- " &amp; TEXT(((D52*1.5)/1440),"h:mm") &amp; "h | " &amp; D52 &amp; "km"
)</f>
        <v>- COLHEITADEIRA: *1CQS550AAS0160130*_x000D_
- A:3,80 x C:10,00 x L:3,70-4,20 x P:15.938kg_x000D_
- *Cliente*: JAN NOORDEGRAAF NETO -NF61591_x000D_
- *Obs:* JAN NOORDEGRAAF NETO 042999791942 - CEN PAULO HOPATA_x000D_
- *De*: MACPONTA AGRO DE ARAPOTI_x000D_
- *Para*: https://maps.app.goo.gl/w2FYcAi8ZYYfJ88Y8_x000D_
- *Ida e volta*: +/- 0:33h | 22km</v>
      </c>
    </row>
    <row r="53" spans="1:21" ht="14.4" x14ac:dyDescent="0.3">
      <c r="A53" s="12" t="s">
        <v>269</v>
      </c>
      <c r="B53" s="10" t="s">
        <v>29</v>
      </c>
      <c r="C53" s="97">
        <f t="shared" si="2"/>
        <v>2.2916666666666665E-2</v>
      </c>
      <c r="D53" s="10">
        <v>22</v>
      </c>
      <c r="E53" s="98"/>
      <c r="F53" s="99">
        <v>300</v>
      </c>
      <c r="G53" s="10" t="s">
        <v>275</v>
      </c>
      <c r="H53" s="100">
        <v>45980</v>
      </c>
      <c r="I53" s="101"/>
      <c r="J53" s="10" t="s">
        <v>276</v>
      </c>
      <c r="K53" s="10" t="s">
        <v>168</v>
      </c>
      <c r="L53" s="10" t="s">
        <v>109</v>
      </c>
      <c r="M53" s="10" t="s">
        <v>47</v>
      </c>
      <c r="N53" s="12" t="s">
        <v>119</v>
      </c>
      <c r="O53" s="10" t="s">
        <v>272</v>
      </c>
      <c r="P53" s="12" t="s">
        <v>111</v>
      </c>
      <c r="Q53" s="10" t="s">
        <v>277</v>
      </c>
      <c r="R53" s="10" t="s">
        <v>47</v>
      </c>
      <c r="S53" s="10" t="s">
        <v>5</v>
      </c>
      <c r="T53" s="2" t="str">
        <f t="shared" ref="T53" si="6">IF(
  OR(
    IFERROR(FIND("BM",G53),0)&gt;0,
    IFERROR(FIND("PY",G53),0)&gt;0
  ),
  MID(TRIM(SUBSTITUTE(SUBSTITUTE(G53,CHAR(160),""),CHAR(9),"")),4,5),
  MID(TRIM(SUBSTITUTE(SUBSTITUTE(G53,CHAR(160),""),CHAR(9),"")),4,4)
)</f>
        <v>2881</v>
      </c>
      <c r="U53" s="2" t="str" cm="1">
        <f t="array" ref="U53">_xlfn.LET(
  _xlpm.ch, TRIM(SUBSTITUTE(G53,CHAR(160),"")),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IF(L53="CLIENTE", O53, IF(LEFT(L53,4)="http", L53, "MACPONTA AGRO DE "&amp;L53)),
  _xlpm.paraBase, IF(M53="CLIENTE", P53, M53),
  _xlpm.paraTxt, IF(LEFT(_xlpm.paraBase,4)="http", _xlpm.paraBase, "MACPONTA AGRO DE "&amp;_xlpm.paraBase),
  _xlpm.nfParte, IF(LEN(TRIM(I53))=0, "", " -NF "&amp;TRIM(I53)),
  "- " &amp; _xlpm.tipotxt &amp; ": *" &amp; G53 &amp; "*" &amp; CHAR(13)&amp;CHAR(10) &amp;
  "- " &amp; _xlpm.dimtxt &amp; CHAR(13)&amp;CHAR(10) &amp;
  "- *Cliente*: " &amp; J53 &amp; _xlpm.nfParte &amp; CHAR(13)&amp;CHAR(10) &amp;
  "- *Obs:* " &amp; Q53 &amp; CHAR(13)&amp;CHAR(10) &amp; CHAR(10) &amp;
  "- *De*: " &amp; _xlpm.deTxt &amp; CHAR(13)&amp;CHAR(10) &amp;
  "- *Para*: " &amp; _xlpm.paraTxt &amp; CHAR(13)&amp;CHAR(10) &amp;
  "- *Ida e volta*: +/- " &amp; TEXT(((D53*1.5)/1440),"h:mm") &amp; "h | " &amp; D53 &amp; "km"
)</f>
        <v>- : *CTP28811021*_x000D_
- _x000D_
- *Cliente*: NOTA DO CLIENTE_x000D_
- *Obs:* JAN NOORDEGRAAF NETO 43999791942 - CEN PAULO HOPATA_x000D_
- *De*: https://maps.app.goo.gl/w2FYcAi8ZYYfJ88Y8_x000D_
- *Para*: MACPONTA AGRO DE ARAPOTI_x000D_
- *Ida e volta*: +/- 0:33h | 22km</v>
      </c>
    </row>
    <row r="54" spans="1:21" ht="14.4" x14ac:dyDescent="0.3">
      <c r="A54" s="12" t="s">
        <v>269</v>
      </c>
      <c r="B54" s="10" t="s">
        <v>29</v>
      </c>
      <c r="C54" s="97">
        <f t="shared" si="2"/>
        <v>2.2916666666666665E-2</v>
      </c>
      <c r="D54" s="10">
        <v>22</v>
      </c>
      <c r="E54" s="98"/>
      <c r="F54" s="99">
        <v>300</v>
      </c>
      <c r="G54" s="10" t="s">
        <v>278</v>
      </c>
      <c r="H54" s="100">
        <v>45980</v>
      </c>
      <c r="I54" s="101"/>
      <c r="J54" s="10" t="s">
        <v>279</v>
      </c>
      <c r="K54" s="10" t="s">
        <v>168</v>
      </c>
      <c r="L54" s="10" t="s">
        <v>47</v>
      </c>
      <c r="M54" s="10" t="s">
        <v>109</v>
      </c>
      <c r="N54" s="12" t="s">
        <v>110</v>
      </c>
      <c r="O54" s="10" t="s">
        <v>111</v>
      </c>
      <c r="P54" s="138" t="s">
        <v>272</v>
      </c>
      <c r="Q54" s="10" t="s">
        <v>280</v>
      </c>
      <c r="R54" s="10" t="s">
        <v>47</v>
      </c>
      <c r="S54" s="10" t="s">
        <v>5</v>
      </c>
      <c r="T54" s="2" t="str">
        <f t="shared" ref="T54" si="7">IF(
  OR(
    IFERROR(FIND("BM",G54),0)&gt;0,
    IFERROR(FIND("PY",G54),0)&gt;0
  ),
  MID(TRIM(SUBSTITUTE(SUBSTITUTE(G54,CHAR(160),""),CHAR(9),"")),4,5),
  MID(TRIM(SUBSTITUTE(SUBSTITUTE(G54,CHAR(160),""),CHAR(9),"")),4,4)
)</f>
        <v>5870</v>
      </c>
      <c r="U54" s="2" t="str" cm="1">
        <f t="array" ref="U54">_xlfn.LET(
  _xlpm.ch, TRIM(SUBSTITUTE(G54,CHAR(160),"")),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IF(L54="CLIENTE", O54, IF(LEFT(L54,4)="http", L54, "MACPONTA AGRO DE "&amp;L54)),
  _xlpm.paraBase, IF(M54="CLIENTE", P54, M54),
  _xlpm.paraTxt, IF(LEFT(_xlpm.paraBase,4)="http", _xlpm.paraBase, "MACPONTA AGRO DE "&amp;_xlpm.paraBase),
  _xlpm.nfParte, IF(LEN(TRIM(I54))=0, "", " -NF "&amp;TRIM(I54)),
  "- " &amp; _xlpm.tipotxt &amp; ": *" &amp; G54 &amp; "*" &amp; CHAR(13)&amp;CHAR(10) &amp;
  "- " &amp; _xlpm.dimtxt &amp; CHAR(13)&amp;CHAR(10) &amp;
  "- *Cliente*: " &amp; J54 &amp; _xlpm.nfParte &amp; CHAR(13)&amp;CHAR(10) &amp;
  "- *Obs:* " &amp; Q54 &amp; CHAR(13)&amp;CHAR(10) &amp; CHAR(10) &amp;
  "- *De*: " &amp; _xlpm.deTxt &amp; CHAR(13)&amp;CHAR(10) &amp;
  "- *Para*: " &amp; _xlpm.paraTxt &amp; CHAR(13)&amp;CHAR(10) &amp;
  "- *Ida e volta*: +/- " &amp; TEXT(((D54*1.5)/1440),"h:mm") &amp; "h | " &amp; D54 &amp; "km"
)</f>
        <v>- : *CTP58701025*_x000D_
- _x000D_
- *Cliente*: JAN NOORDEGRAAF NETO -NF61845_x000D_
- *Obs:* JAN NOORDEGRAAF NETO 43999791942 - CEN Paulo Hopata_x000D_
- *De*: MACPONTA AGRO DE ARAPOTI_x000D_
- *Para*: https://maps.app.goo.gl/w2FYcAi8ZYYfJ88Y8_x000D_
- *Ida e volta*: +/- 0:33h | 22km</v>
      </c>
    </row>
    <row r="55" spans="1:21" ht="14.4" x14ac:dyDescent="0.3">
      <c r="A55" s="12" t="s">
        <v>269</v>
      </c>
      <c r="B55" s="10" t="s">
        <v>29</v>
      </c>
      <c r="C55" s="97">
        <f t="shared" si="2"/>
        <v>2.2916666666666665E-2</v>
      </c>
      <c r="D55" s="10">
        <v>22</v>
      </c>
      <c r="E55" s="98"/>
      <c r="F55" s="99">
        <v>800</v>
      </c>
      <c r="G55" s="10" t="s">
        <v>281</v>
      </c>
      <c r="H55" s="100">
        <v>45980</v>
      </c>
      <c r="I55" s="101"/>
      <c r="J55" s="10" t="s">
        <v>276</v>
      </c>
      <c r="K55" s="10" t="s">
        <v>168</v>
      </c>
      <c r="L55" s="10" t="s">
        <v>109</v>
      </c>
      <c r="M55" s="10" t="s">
        <v>47</v>
      </c>
      <c r="N55" s="12" t="s">
        <v>119</v>
      </c>
      <c r="O55" s="140" t="s">
        <v>272</v>
      </c>
      <c r="P55" s="12" t="s">
        <v>111</v>
      </c>
      <c r="Q55" s="10" t="s">
        <v>277</v>
      </c>
      <c r="R55" s="10" t="s">
        <v>47</v>
      </c>
      <c r="S55" s="10" t="s">
        <v>6</v>
      </c>
      <c r="T55" s="2" t="str">
        <f t="shared" ref="T55:T86" si="8">IF(
  OR(
    IFERROR(FIND("BM",G55),0)&gt;0,
    IFERROR(FIND("PY",G55),0)&gt;0
  ),
  MID(TRIM(SUBSTITUTE(SUBSTITUTE(G55,CHAR(160),""),CHAR(9),"")),4,5),
  MID(TRIM(SUBSTITUTE(SUBSTITUTE(G55,CHAR(160),""),CHAR(9),"")),4,4)
)</f>
        <v>B251</v>
      </c>
      <c r="U55" s="2" t="str" cm="1">
        <f t="array" ref="U55">_xlfn.LET(
  _xlpm.ch, TRIM(SUBSTITUTE(G55,CHAR(160),"")),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IF(L55="CLIENTE", O55, IF(LEFT(L55,4)="http", L55, "MACPONTA AGRO DE "&amp;L55)),
  _xlpm.paraBase, IF(M55="CLIENTE", P55, M55),
  _xlpm.paraTxt, IF(LEFT(_xlpm.paraBase,4)="http", _xlpm.paraBase, "MACPONTA AGRO DE "&amp;_xlpm.paraBase),
  _xlpm.nfParte, IF(LEN(TRIM(I55))=0, "", " -NF "&amp;TRIM(I55)),
  "- " &amp; _xlpm.tipotxt &amp; ": *" &amp; G55 &amp; "*" &amp; CHAR(13)&amp;CHAR(10) &amp;
  "- " &amp; _xlpm.dimtxt &amp; CHAR(13)&amp;CHAR(10) &amp;
  "- *Cliente*: " &amp; J55 &amp; _xlpm.nfParte &amp; CHAR(13)&amp;CHAR(10) &amp;
  "- *Obs:* " &amp; Q55 &amp; CHAR(13)&amp;CHAR(10) &amp; CHAR(10) &amp;
  "- *De*: " &amp; _xlpm.deTxt &amp; CHAR(13)&amp;CHAR(10) &amp;
  "- *Para*: " &amp; _xlpm.paraTxt &amp; CHAR(13)&amp;CHAR(10) &amp;
  "- *Ida e volta*: +/- " &amp; TEXT(((D55*1.5)/1440),"h:mm") &amp; "h | " &amp; D55 &amp; "km"
)</f>
        <v>- : *HCCB251KEKC318677*_x000D_
- _x000D_
- *Cliente*: NOTA DO CLIENTE_x000D_
- *Obs:* JAN NOORDEGRAAF NETO 43999791942 - CEN PAULO HOPATA_x000D_
- *De*: https://maps.app.goo.gl/w2FYcAi8ZYYfJ88Y8_x000D_
- *Para*: MACPONTA AGRO DE ARAPOTI_x000D_
- *Ida e volta*: +/- 0:33h | 22km</v>
      </c>
    </row>
    <row r="56" spans="1:21" ht="14.4" x14ac:dyDescent="0.3">
      <c r="A56" s="12" t="s">
        <v>269</v>
      </c>
      <c r="B56" s="10" t="s">
        <v>29</v>
      </c>
      <c r="C56" s="97">
        <f t="shared" si="2"/>
        <v>2.2916666666666665E-2</v>
      </c>
      <c r="D56" s="10">
        <v>22</v>
      </c>
      <c r="E56" s="98"/>
      <c r="F56" s="99">
        <v>400</v>
      </c>
      <c r="G56" s="10" t="s">
        <v>282</v>
      </c>
      <c r="H56" s="100">
        <v>45980</v>
      </c>
      <c r="I56" s="101"/>
      <c r="J56" s="10" t="s">
        <v>276</v>
      </c>
      <c r="K56" s="10" t="s">
        <v>168</v>
      </c>
      <c r="L56" s="10" t="s">
        <v>109</v>
      </c>
      <c r="M56" s="10" t="s">
        <v>47</v>
      </c>
      <c r="N56" s="12" t="s">
        <v>119</v>
      </c>
      <c r="O56" s="140" t="s">
        <v>272</v>
      </c>
      <c r="P56" s="12" t="s">
        <v>111</v>
      </c>
      <c r="Q56" s="10" t="s">
        <v>277</v>
      </c>
      <c r="R56" s="10" t="s">
        <v>47</v>
      </c>
      <c r="S56" s="10" t="s">
        <v>8</v>
      </c>
      <c r="T56" s="2" t="str">
        <f t="shared" si="8"/>
        <v>Y358</v>
      </c>
      <c r="U56" s="2" t="str" cm="1">
        <f t="array" ref="U56">_xlfn.LET(
  _xlpm.ch, TRIM(SUBSTITUTE(G56,CHAR(160),"")),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IF(L56="CLIENTE", O56, IF(LEFT(L56,4)="http", L56, "MACPONTA AGRO DE "&amp;L56)),
  _xlpm.paraBase, IF(M56="CLIENTE", P56, M56),
  _xlpm.paraTxt, IF(LEFT(_xlpm.paraBase,4)="http", _xlpm.paraBase, "MACPONTA AGRO DE "&amp;_xlpm.paraBase),
  _xlpm.nfParte, IF(LEN(TRIM(I56))=0, "", " -NF "&amp;TRIM(I56)),
  "- " &amp; _xlpm.tipotxt &amp; ": *" &amp; G56 &amp; "*" &amp; CHAR(13)&amp;CHAR(10) &amp;
  "- " &amp; _xlpm.dimtxt &amp; CHAR(13)&amp;CHAR(10) &amp;
  "- *Cliente*: " &amp; J56 &amp; _xlpm.nfParte &amp; CHAR(13)&amp;CHAR(10) &amp;
  "- *Obs:* " &amp; Q56 &amp; CHAR(13)&amp;CHAR(10) &amp; CHAR(10) &amp;
  "- *De*: " &amp; _xlpm.deTxt &amp; CHAR(13)&amp;CHAR(10) &amp;
  "- *Para*: " &amp; _xlpm.paraTxt &amp; CHAR(13)&amp;CHAR(10) &amp;
  "- *Ida e volta*: +/- " &amp; TEXT(((D56*1.5)/1440),"h:mm") &amp; "h | " &amp; D56 &amp; "km"
)</f>
        <v>- : *JHFY3585PKJF12965*_x000D_
- _x000D_
- *Cliente*: NOTA DO CLIENTE_x000D_
- *Obs:* JAN NOORDEGRAAF NETO 43999791942 - CEN PAULO HOPATA_x000D_
- *De*: https://maps.app.goo.gl/w2FYcAi8ZYYfJ88Y8_x000D_
- *Para*: MACPONTA AGRO DE ARAPOTI_x000D_
- *Ida e volta*: +/- 0:33h | 22km</v>
      </c>
    </row>
    <row r="57" spans="1:21" ht="14.4" x14ac:dyDescent="0.3">
      <c r="A57" s="12" t="s">
        <v>269</v>
      </c>
      <c r="B57" s="10" t="s">
        <v>27</v>
      </c>
      <c r="C57" s="97">
        <f t="shared" si="2"/>
        <v>0.22916666666666666</v>
      </c>
      <c r="D57" s="10">
        <v>220</v>
      </c>
      <c r="E57" s="98"/>
      <c r="F57" s="99"/>
      <c r="G57" s="10" t="s">
        <v>283</v>
      </c>
      <c r="H57" s="100">
        <v>45980</v>
      </c>
      <c r="I57" s="101"/>
      <c r="J57" s="10" t="s">
        <v>284</v>
      </c>
      <c r="K57" s="10" t="s">
        <v>124</v>
      </c>
      <c r="L57" s="10" t="s">
        <v>125</v>
      </c>
      <c r="M57" s="10" t="s">
        <v>109</v>
      </c>
      <c r="N57" s="12" t="s">
        <v>110</v>
      </c>
      <c r="O57" s="10" t="s">
        <v>111</v>
      </c>
      <c r="P57" s="12" t="s">
        <v>285</v>
      </c>
      <c r="Q57" s="10" t="s">
        <v>286</v>
      </c>
      <c r="R57" s="10" t="s">
        <v>125</v>
      </c>
      <c r="S57" s="10" t="s">
        <v>10</v>
      </c>
      <c r="T57" s="2" t="str">
        <f t="shared" si="8"/>
        <v>6100J</v>
      </c>
      <c r="U57" s="2" t="str" cm="1">
        <f t="array" ref="U57">_xlfn.LET(
  _xlpm.ch, TRIM(SUBSTITUTE(G57,CHAR(160),"")),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IF(L57="CLIENTE", O57, IF(LEFT(L57,4)="http", L57, "MACPONTA AGRO DE "&amp;L57)),
  _xlpm.paraBase, IF(M57="CLIENTE", P57, M57),
  _xlpm.paraTxt, IF(LEFT(_xlpm.paraBase,4)="http", _xlpm.paraBase, "MACPONTA AGRO DE "&amp;_xlpm.paraBase),
  _xlpm.nfParte, IF(LEN(TRIM(I57))=0, "", " -NF "&amp;TRIM(I57)),
  "- " &amp; _xlpm.tipotxt &amp; ": *" &amp; G57 &amp; "*" &amp; CHAR(13)&amp;CHAR(10) &amp;
  "- " &amp; _xlpm.dimtxt &amp; CHAR(13)&amp;CHAR(10) &amp;
  "- *Cliente*: " &amp; J57 &amp; _xlpm.nfParte &amp; CHAR(13)&amp;CHAR(10) &amp;
  "- *Obs:* " &amp; Q57 &amp; CHAR(13)&amp;CHAR(10) &amp; CHAR(10) &amp;
  "- *De*: " &amp; _xlpm.deTxt &amp; CHAR(13)&amp;CHAR(10) &amp;
  "- *Para*: " &amp; _xlpm.paraTxt &amp; CHAR(13)&amp;CHAR(10) &amp;
  "- *Ida e volta*: +/- " &amp; TEXT(((D57*1.5)/1440),"h:mm") &amp; "h | " &amp; D57 &amp; "km"
)</f>
        <v>- TRATOR: *1BM6100JTSD602254*_x000D_
- _x000D_
- *Cliente*: PATRICIA H O HASEGAWA -NF106525_x000D_
- *Obs:* Patricia_x000D_
- *De*: MACPONTA AGRO DE GUARAPUAVA_x000D_
- *Para*: https://maps.app.goo.gl/sUh1AADFcu4n8yPE8?g_st=iw_x000D_
- *Ida e volta*: +/- 5:30h | 220km</v>
      </c>
    </row>
    <row r="58" spans="1:21" ht="14.4" x14ac:dyDescent="0.3">
      <c r="A58" s="12" t="s">
        <v>269</v>
      </c>
      <c r="B58" s="10" t="s">
        <v>27</v>
      </c>
      <c r="C58" s="97">
        <f t="shared" si="2"/>
        <v>9.375E-2</v>
      </c>
      <c r="D58" s="10">
        <v>90</v>
      </c>
      <c r="E58" s="98"/>
      <c r="F58" s="99"/>
      <c r="G58" s="10" t="s">
        <v>287</v>
      </c>
      <c r="H58" s="100">
        <v>45980</v>
      </c>
      <c r="I58" s="101"/>
      <c r="J58" s="10" t="s">
        <v>288</v>
      </c>
      <c r="K58" s="10" t="s">
        <v>124</v>
      </c>
      <c r="L58" s="10" t="s">
        <v>125</v>
      </c>
      <c r="M58" s="10" t="s">
        <v>109</v>
      </c>
      <c r="N58" s="12" t="s">
        <v>110</v>
      </c>
      <c r="O58" s="10" t="s">
        <v>111</v>
      </c>
      <c r="P58" s="12" t="s">
        <v>289</v>
      </c>
      <c r="Q58" s="10" t="s">
        <v>290</v>
      </c>
      <c r="R58" s="10" t="s">
        <v>125</v>
      </c>
      <c r="S58" s="10" t="s">
        <v>10</v>
      </c>
      <c r="T58" s="2" t="str">
        <f t="shared" si="8"/>
        <v>6100J</v>
      </c>
      <c r="U58" s="2" t="str" cm="1">
        <f t="array" ref="U58">_xlfn.LET(
  _xlpm.ch, TRIM(SUBSTITUTE(G58,CHAR(160),"")),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IF(L58="CLIENTE", O58, IF(LEFT(L58,4)="http", L58, "MACPONTA AGRO DE "&amp;L58)),
  _xlpm.paraBase, IF(M58="CLIENTE", P58, M58),
  _xlpm.paraTxt, IF(LEFT(_xlpm.paraBase,4)="http", _xlpm.paraBase, "MACPONTA AGRO DE "&amp;_xlpm.paraBase),
  _xlpm.nfParte, IF(LEN(TRIM(I58))=0, "", " -NF "&amp;TRIM(I58)),
  "- " &amp; _xlpm.tipotxt &amp; ": *" &amp; G58 &amp; "*" &amp; CHAR(13)&amp;CHAR(10) &amp;
  "- " &amp; _xlpm.dimtxt &amp; CHAR(13)&amp;CHAR(10) &amp;
  "- *Cliente*: " &amp; J58 &amp; _xlpm.nfParte &amp; CHAR(13)&amp;CHAR(10) &amp;
  "- *Obs:* " &amp; Q58 &amp; CHAR(13)&amp;CHAR(10) &amp; CHAR(10) &amp;
  "- *De*: " &amp; _xlpm.deTxt &amp; CHAR(13)&amp;CHAR(10) &amp;
  "- *Para*: " &amp; _xlpm.paraTxt &amp; CHAR(13)&amp;CHAR(10) &amp;
  "- *Ida e volta*: +/- " &amp; TEXT(((D58*1.5)/1440),"h:mm") &amp; "h | " &amp; D58 &amp; "km"
)</f>
        <v>- TRATOR: *1BM6100JCSD602446*_x000D_
- _x000D_
- *Cliente*: BRUNNO F VIOMAR -NF 107324_x000D_
- *Obs:* Bruno_x000D_
- *De*: MACPONTA AGRO DE GUARAPUAVA_x000D_
- *Para*: https://maps.app.goo.gl/dMP2u2euHz5GQfGg7_x000D_
- *Ida e volta*: +/- 2:15h | 90km</v>
      </c>
    </row>
    <row r="59" spans="1:21" ht="14.4" x14ac:dyDescent="0.3">
      <c r="A59" s="12" t="s">
        <v>269</v>
      </c>
      <c r="B59" s="10" t="s">
        <v>27</v>
      </c>
      <c r="C59" s="97">
        <f t="shared" si="2"/>
        <v>0.12708333333333333</v>
      </c>
      <c r="D59" s="10">
        <v>122</v>
      </c>
      <c r="E59" s="98"/>
      <c r="F59" s="99"/>
      <c r="G59" s="10" t="s">
        <v>291</v>
      </c>
      <c r="H59" s="100">
        <v>45980</v>
      </c>
      <c r="I59" s="101"/>
      <c r="J59" s="10" t="s">
        <v>292</v>
      </c>
      <c r="K59" s="10" t="s">
        <v>124</v>
      </c>
      <c r="L59" s="10" t="s">
        <v>125</v>
      </c>
      <c r="M59" s="10" t="s">
        <v>109</v>
      </c>
      <c r="N59" s="12" t="s">
        <v>110</v>
      </c>
      <c r="O59" s="10" t="s">
        <v>111</v>
      </c>
      <c r="P59" s="12" t="s">
        <v>293</v>
      </c>
      <c r="Q59" s="10" t="s">
        <v>294</v>
      </c>
      <c r="R59" s="10" t="s">
        <v>125</v>
      </c>
      <c r="S59" s="10" t="s">
        <v>6</v>
      </c>
      <c r="T59" s="2" t="str">
        <f t="shared" si="8"/>
        <v>5251</v>
      </c>
      <c r="U59" s="2" t="str" cm="1">
        <f t="array" ref="U59">_xlfn.LET(
  _xlpm.ch, TRIM(SUBSTITUTE(G59,CHAR(160),"")),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TRIM(SUBSTITUTE(T59,CHAR(160),"")),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IF(L59="CLIENTE", O59, IF(LEFT(L59,4)="http", L59, "MACPONTA AGRO DE "&amp;L59)),
  _xlpm.paraBase, IF(M59="CLIENTE", P59, M59),
  _xlpm.paraTxt, IF(LEFT(_xlpm.paraBase,4)="http", _xlpm.paraBase, "MACPONTA AGRO DE "&amp;_xlpm.paraBase),
  _xlpm.nfParte, IF(LEN(TRIM(I59))=0, "", " -NF "&amp;TRIM(I59)),
  "- " &amp; _xlpm.tipotxt &amp; ": *" &amp; G59 &amp; "*" &amp; CHAR(13)&amp;CHAR(10) &amp;
  "- " &amp; _xlpm.dimtxt &amp; CHAR(13)&amp;CHAR(10) &amp;
  "- *Cliente*: " &amp; J59 &amp; _xlpm.nfParte &amp; CHAR(13)&amp;CHAR(10) &amp;
  "- *Obs:* " &amp; Q59 &amp; CHAR(13)&amp;CHAR(10) &amp; CHAR(10) &amp;
  "- *De*: " &amp; _xlpm.deTxt &amp; CHAR(13)&amp;CHAR(10) &amp;
  "- *Para*: " &amp; _xlpm.paraTxt &amp; CHAR(13)&amp;CHAR(10) &amp;
  "- *Ida e volta*: +/- " &amp; TEXT(((D59*1.5)/1440),"h:mm") &amp; "h | " &amp; D59 &amp; "km"
)</f>
        <v>- : *Y8C525126*_x000D_
- _x000D_
- *Cliente*: ANDRE MUZZOLON TURCO -NF10833_x000D_
- *Obs:* Andre_x000D_
- *De*: MACPONTA AGRO DE GUARAPUAVA_x000D_
- *Para*: https://maps.app.goo.gl/k8sSRQfK1xFP8eN89_x000D_
- *Ida e volta*: +/- 3:03h | 122km</v>
      </c>
    </row>
    <row r="60" spans="1:21" ht="14.4" x14ac:dyDescent="0.3">
      <c r="A60" s="12" t="s">
        <v>269</v>
      </c>
      <c r="B60" s="10" t="s">
        <v>31</v>
      </c>
      <c r="C60" s="97">
        <f t="shared" si="2"/>
        <v>0.14583333333333334</v>
      </c>
      <c r="D60" s="10">
        <v>140</v>
      </c>
      <c r="E60" s="98"/>
      <c r="F60" s="99">
        <v>550</v>
      </c>
      <c r="G60" s="10" t="s">
        <v>295</v>
      </c>
      <c r="H60" s="100">
        <v>45980</v>
      </c>
      <c r="I60" s="101"/>
      <c r="J60" s="10" t="s">
        <v>296</v>
      </c>
      <c r="K60" s="10" t="s">
        <v>179</v>
      </c>
      <c r="L60" s="10" t="s">
        <v>49</v>
      </c>
      <c r="M60" s="10" t="s">
        <v>109</v>
      </c>
      <c r="N60" s="12" t="s">
        <v>110</v>
      </c>
      <c r="O60" s="10" t="s">
        <v>111</v>
      </c>
      <c r="P60" s="12" t="s">
        <v>297</v>
      </c>
      <c r="Q60" s="10" t="s">
        <v>298</v>
      </c>
      <c r="R60" s="10" t="s">
        <v>233</v>
      </c>
      <c r="S60" s="10" t="s">
        <v>10</v>
      </c>
      <c r="T60" s="2" t="str">
        <f t="shared" si="8"/>
        <v>5060E</v>
      </c>
      <c r="U60" s="2" t="str" cm="1">
        <f t="array" ref="U60">_xlfn.LET(
  _xlpm.ch, TRIM(SUBSTITUTE(G60,CHAR(160),"")),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IF(L60="CLIENTE", O60, IF(LEFT(L60,4)="http", L60, "MACPONTA AGRO DE "&amp;L60)),
  _xlpm.paraBase, IF(M60="CLIENTE", P60, M60),
  _xlpm.paraTxt, IF(LEFT(_xlpm.paraBase,4)="http", _xlpm.paraBase, "MACPONTA AGRO DE "&amp;_xlpm.paraBase),
  _xlpm.nfParte, IF(LEN(TRIM(I60))=0, "", " -NF "&amp;TRIM(I60)),
  "- " &amp; _xlpm.tipotxt &amp; ": *" &amp; G60 &amp; "*" &amp; CHAR(13)&amp;CHAR(10) &amp;
  "- " &amp; _xlpm.dimtxt &amp; CHAR(13)&amp;CHAR(10) &amp;
  "- *Cliente*: " &amp; J60 &amp; _xlpm.nfParte &amp; CHAR(13)&amp;CHAR(10) &amp;
  "- *Obs:* " &amp; Q60 &amp; CHAR(13)&amp;CHAR(10) &amp; CHAR(10) &amp;
  "- *De*: " &amp; _xlpm.deTxt &amp; CHAR(13)&amp;CHAR(10) &amp;
  "- *Para*: " &amp; _xlpm.paraTxt &amp; CHAR(13)&amp;CHAR(10) &amp;
  "- *Ida e volta*: +/- " &amp; TEXT(((D60*1.5)/1440),"h:mm") &amp; "h | " &amp; D60 &amp; "km"
)</f>
        <v>- TRATOR: *1BM5060EVS4201539*_x000D_
- _x000D_
- *Cliente*: OSMAR DIATCZUK -NF 30883_x000D_
- *Obs:* Osmar (42) 99908-3514_x000D_
- *De*: MACPONTA AGRO DE IRATI_x000D_
- *Para*: https://maps.google.com/maps?q=-25.1189094%2C-51.0372015&amp;z=17&amp;hl=pt-BR_x000D_
- *Ida e volta*: +/- 3:30h | 140km</v>
      </c>
    </row>
    <row r="61" spans="1:21" ht="14.4" x14ac:dyDescent="0.3">
      <c r="A61" s="12" t="s">
        <v>268</v>
      </c>
      <c r="B61" s="10" t="s">
        <v>84</v>
      </c>
      <c r="C61" s="97">
        <f t="shared" si="2"/>
        <v>5.8333333333333334E-2</v>
      </c>
      <c r="D61" s="10">
        <v>56</v>
      </c>
      <c r="E61" s="98">
        <f>IFERROR((D61*6),"?")</f>
        <v>336</v>
      </c>
      <c r="F61" s="99"/>
      <c r="G61" s="10" t="s">
        <v>299</v>
      </c>
      <c r="H61" s="100">
        <v>45980</v>
      </c>
      <c r="I61" s="101"/>
      <c r="J61" s="10" t="s">
        <v>300</v>
      </c>
      <c r="K61" s="10" t="s">
        <v>301</v>
      </c>
      <c r="L61" s="10" t="s">
        <v>142</v>
      </c>
      <c r="M61" s="10" t="s">
        <v>109</v>
      </c>
      <c r="N61" s="12" t="s">
        <v>252</v>
      </c>
      <c r="O61" s="10" t="s">
        <v>111</v>
      </c>
      <c r="P61" s="138" t="s">
        <v>302</v>
      </c>
      <c r="Q61" s="10" t="s">
        <v>303</v>
      </c>
      <c r="R61" s="10" t="s">
        <v>142</v>
      </c>
      <c r="S61" s="10" t="s">
        <v>10</v>
      </c>
      <c r="T61" s="2" t="str">
        <f t="shared" si="8"/>
        <v>7215C</v>
      </c>
      <c r="U61" s="2" t="str" cm="1">
        <f t="array" ref="U61">_xlfn.LET(
  _xlpm.ch, TRIM(SUBSTITUTE(G61,CHAR(160),"")),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IF(L61="CLIENTE", O61, IF(LEFT(L61,4)="http", L61, "MACPONTA AGRO DE "&amp;L61)),
  _xlpm.paraBase, IF(M61="CLIENTE", P61, M61),
  _xlpm.paraTxt, IF(LEFT(_xlpm.paraBase,4)="http", _xlpm.paraBase, "MACPONTA AGRO DE "&amp;_xlpm.paraBase),
  _xlpm.nfParte, IF(LEN(TRIM(I61))=0, "", " -NF "&amp;TRIM(I61)),
  "- " &amp; _xlpm.tipotxt &amp; ": *" &amp; G61 &amp; "*" &amp; CHAR(13)&amp;CHAR(10) &amp;
  "- " &amp; _xlpm.dimtxt &amp; CHAR(13)&amp;CHAR(10) &amp;
  "- *Cliente*: " &amp; J61 &amp; _xlpm.nfParte &amp; CHAR(13)&amp;CHAR(10) &amp;
  "- *Obs:* " &amp; Q61 &amp; CHAR(13)&amp;CHAR(10) &amp; CHAR(10) &amp;
  "- *De*: " &amp; _xlpm.deTxt &amp; CHAR(13)&amp;CHAR(10) &amp;
  "- *Para*: " &amp; _xlpm.paraTxt &amp; CHAR(13)&amp;CHAR(10) &amp;
  "- *Ida e volta*: +/- " &amp; TEXT(((D61*1.5)/1440),"h:mm") &amp; "h | " &amp; D61 &amp; "km"
)</f>
        <v>- TRATOR: *1BM7215CJSH000128*_x000D_
- _x000D_
- *Cliente*: GOLFE CLUB -NF79151_x000D_
- *Obs:* Silvana +55 42 9955-7892 (Golf Clube)_x000D_
- *De*: MACPONTA AGRO DE PONTA GROSSA_x000D_
- *Para*: https://maps.app.goo.gl/nPrR72QZAjPCStGf7_x000D_
- *Ida e volta*: +/- 1:24h | 56km</v>
      </c>
    </row>
    <row r="62" spans="1:21" ht="14.4" x14ac:dyDescent="0.3">
      <c r="A62" s="12" t="s">
        <v>268</v>
      </c>
      <c r="B62" s="10" t="s">
        <v>84</v>
      </c>
      <c r="C62" s="97">
        <f t="shared" si="2"/>
        <v>5.8333333333333334E-2</v>
      </c>
      <c r="D62" s="10">
        <v>56</v>
      </c>
      <c r="E62" s="98">
        <f>IFERROR((D62*6),"?")</f>
        <v>336</v>
      </c>
      <c r="F62" s="99"/>
      <c r="G62" s="10" t="s">
        <v>304</v>
      </c>
      <c r="H62" s="100">
        <v>45980</v>
      </c>
      <c r="I62" s="101"/>
      <c r="J62" s="10" t="s">
        <v>300</v>
      </c>
      <c r="K62" s="10" t="s">
        <v>301</v>
      </c>
      <c r="L62" s="10" t="s">
        <v>142</v>
      </c>
      <c r="M62" s="10" t="s">
        <v>109</v>
      </c>
      <c r="N62" s="12" t="s">
        <v>252</v>
      </c>
      <c r="O62" s="10" t="s">
        <v>111</v>
      </c>
      <c r="P62" s="138" t="s">
        <v>302</v>
      </c>
      <c r="Q62" s="10" t="s">
        <v>303</v>
      </c>
      <c r="R62" s="10" t="s">
        <v>142</v>
      </c>
      <c r="S62" s="10" t="s">
        <v>10</v>
      </c>
      <c r="T62" s="2" t="str">
        <f t="shared" si="8"/>
        <v>6210M</v>
      </c>
      <c r="U62" s="2" t="str" cm="1">
        <f t="array" ref="U62">_xlfn.LET(
  _xlpm.ch, TRIM(SUBSTITUTE(G62,CHAR(160),"")),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IF(L62="CLIENTE", O62, IF(LEFT(L62,4)="http", L62, "MACPONTA AGRO DE "&amp;L62)),
  _xlpm.paraBase, IF(M62="CLIENTE", P62, M62),
  _xlpm.paraTxt, IF(LEFT(_xlpm.paraBase,4)="http", _xlpm.paraBase, "MACPONTA AGRO DE "&amp;_xlpm.paraBase),
  _xlpm.nfParte, IF(LEN(TRIM(I62))=0, "", " -NF "&amp;TRIM(I62)),
  "- " &amp; _xlpm.tipotxt &amp; ": *" &amp; G62 &amp; "*" &amp; CHAR(13)&amp;CHAR(10) &amp;
  "- " &amp; _xlpm.dimtxt &amp; CHAR(13)&amp;CHAR(10) &amp;
  "- *Cliente*: " &amp; J62 &amp; _xlpm.nfParte &amp; CHAR(13)&amp;CHAR(10) &amp;
  "- *Obs:* " &amp; Q62 &amp; CHAR(13)&amp;CHAR(10) &amp; CHAR(10) &amp;
  "- *De*: " &amp; _xlpm.deTxt &amp; CHAR(13)&amp;CHAR(10) &amp;
  "- *Para*: " &amp; _xlpm.paraTxt &amp; CHAR(13)&amp;CHAR(10) &amp;
  "- *Ida e volta*: +/- " &amp; TEXT(((D62*1.5)/1440),"h:mm") &amp; "h | " &amp; D62 &amp; "km"
)</f>
        <v>- TRATOR: *1BM6210MPS3001463*_x000D_
- _x000D_
- *Cliente*: GOLFE CLUB -NF79151_x000D_
- *Obs:* Silvana +55 42 9955-7892 (Golf Clube)_x000D_
- *De*: MACPONTA AGRO DE PONTA GROSSA_x000D_
- *Para*: https://maps.app.goo.gl/nPrR72QZAjPCStGf7_x000D_
- *Ida e volta*: +/- 1:24h | 56km</v>
      </c>
    </row>
    <row r="63" spans="1:21" ht="14.4" x14ac:dyDescent="0.3">
      <c r="A63" s="12" t="s">
        <v>305</v>
      </c>
      <c r="B63" s="10" t="s">
        <v>306</v>
      </c>
      <c r="C63" s="97">
        <f t="shared" si="2"/>
        <v>0.15625</v>
      </c>
      <c r="D63" s="10">
        <v>150</v>
      </c>
      <c r="E63" s="98">
        <v>200</v>
      </c>
      <c r="F63" s="99"/>
      <c r="G63" s="10" t="s">
        <v>172</v>
      </c>
      <c r="H63" s="100">
        <v>45981</v>
      </c>
      <c r="I63" s="101"/>
      <c r="J63" s="139" t="s">
        <v>307</v>
      </c>
      <c r="K63" s="10" t="s">
        <v>147</v>
      </c>
      <c r="L63" s="10" t="s">
        <v>109</v>
      </c>
      <c r="M63" s="10" t="s">
        <v>142</v>
      </c>
      <c r="N63" s="12" t="s">
        <v>119</v>
      </c>
      <c r="O63" s="10" t="s">
        <v>174</v>
      </c>
      <c r="P63" s="138" t="s">
        <v>111</v>
      </c>
      <c r="Q63" s="10" t="s">
        <v>175</v>
      </c>
      <c r="R63" s="10" t="s">
        <v>142</v>
      </c>
      <c r="S63" s="10" t="s">
        <v>8</v>
      </c>
      <c r="T63" s="2" t="str">
        <f t="shared" si="8"/>
        <v>0630</v>
      </c>
      <c r="U63" s="2" t="str" cm="1">
        <f t="array" ref="U63">_xlfn.LET(
  _xlpm.ch, TRIM(SUBSTITUTE(G63,CHAR(160),"")),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IF(L63="CLIENTE", O63, IF(LEFT(L63,4)="http", L63, "MACPONTA AGRO DE "&amp;L63)),
  _xlpm.paraBase, IF(M63="CLIENTE", P63, M63),
  _xlpm.paraTxt, IF(LEFT(_xlpm.paraBase,4)="http", _xlpm.paraBase, "MACPONTA AGRO DE "&amp;_xlpm.paraBase),
  _xlpm.nfParte, IF(LEN(TRIM(I63))=0, "", " -NF "&amp;TRIM(I63)),
  "- " &amp; _xlpm.tipotxt &amp; ": *" &amp; G63 &amp; "*" &amp; CHAR(13)&amp;CHAR(10) &amp;
  "- " &amp; _xlpm.dimtxt &amp; CHAR(13)&amp;CHAR(10) &amp;
  "- *Cliente*: " &amp; J63 &amp; _xlpm.nfParte &amp; CHAR(13)&amp;CHAR(10) &amp;
  "- *Obs:* " &amp; Q63 &amp; CHAR(13)&amp;CHAR(10) &amp; CHAR(10) &amp;
  "- *De*: " &amp; _xlpm.deTxt &amp; CHAR(13)&amp;CHAR(10) &amp;
  "- *Para*: " &amp; _xlpm.paraTxt &amp; CHAR(13)&amp;CHAR(10) &amp;
  "- *Ida e volta*: +/- " &amp; TEXT(((D63*1.5)/1440),"h:mm") &amp; "h | " &amp; D63 &amp; "km"
)</f>
        <v>- PLATAFORMA: *1CQ0630AHR0155127*_x000D_
- A:1,60 x C:9,14 x L:1,80-1,80 x P:2.871kg_x000D_
- *Cliente*: MARCELO RIBEIRO NARDI -NF278794  VOLTA_x000D_
- *Obs:* DANILO - MARCELO _x000D_
- *De*: https://maps.app.goo.gl/2DJawZBMR4yqycss9_x000D_
- *Para*: MACPONTA AGRO DE PONTA GROSSA_x000D_
- *Ida e volta*: +/- 3:45h | 150km</v>
      </c>
    </row>
    <row r="64" spans="1:21" ht="14.4" x14ac:dyDescent="0.3">
      <c r="A64" s="12" t="s">
        <v>305</v>
      </c>
      <c r="B64" s="10" t="s">
        <v>306</v>
      </c>
      <c r="C64" s="97">
        <f t="shared" si="2"/>
        <v>0.15625</v>
      </c>
      <c r="D64" s="10">
        <v>150</v>
      </c>
      <c r="E64" s="98">
        <v>800</v>
      </c>
      <c r="F64" s="99"/>
      <c r="G64" s="10" t="s">
        <v>176</v>
      </c>
      <c r="H64" s="100">
        <v>45981</v>
      </c>
      <c r="I64" s="101"/>
      <c r="J64" s="139" t="s">
        <v>307</v>
      </c>
      <c r="K64" s="10" t="s">
        <v>147</v>
      </c>
      <c r="L64" s="10" t="s">
        <v>109</v>
      </c>
      <c r="M64" s="10" t="s">
        <v>142</v>
      </c>
      <c r="N64" s="12" t="s">
        <v>119</v>
      </c>
      <c r="O64" s="10" t="s">
        <v>174</v>
      </c>
      <c r="P64" s="138" t="s">
        <v>111</v>
      </c>
      <c r="Q64" s="10" t="s">
        <v>175</v>
      </c>
      <c r="R64" s="10" t="s">
        <v>142</v>
      </c>
      <c r="S64" s="10" t="s">
        <v>6</v>
      </c>
      <c r="T64" s="2" t="str">
        <f t="shared" si="8"/>
        <v>S550</v>
      </c>
      <c r="U64" s="2" t="str" cm="1">
        <f t="array" ref="U64">_xlfn.LET(
  _xlpm.ch, TRIM(SUBSTITUTE(G64,CHAR(160),"")),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IF(L64="CLIENTE", O64, IF(LEFT(L64,4)="http", L64, "MACPONTA AGRO DE "&amp;L64)),
  _xlpm.paraBase, IF(M64="CLIENTE", P64, M64),
  _xlpm.paraTxt, IF(LEFT(_xlpm.paraBase,4)="http", _xlpm.paraBase, "MACPONTA AGRO DE "&amp;_xlpm.paraBase),
  _xlpm.nfParte, IF(LEN(TRIM(I64))=0, "", " -NF "&amp;TRIM(I64)),
  "- " &amp; _xlpm.tipotxt &amp; ": *" &amp; G64 &amp; "*" &amp; CHAR(13)&amp;CHAR(10) &amp;
  "- " &amp; _xlpm.dimtxt &amp; CHAR(13)&amp;CHAR(10) &amp;
  "- *Cliente*: " &amp; J64 &amp; _xlpm.nfParte &amp; CHAR(13)&amp;CHAR(10) &amp;
  "- *Obs:* " &amp; Q64 &amp; CHAR(13)&amp;CHAR(10) &amp; CHAR(10) &amp;
  "- *De*: " &amp; _xlpm.deTxt &amp; CHAR(13)&amp;CHAR(10) &amp;
  "- *Para*: " &amp; _xlpm.paraTxt &amp; CHAR(13)&amp;CHAR(10) &amp;
  "- *Ida e volta*: +/- " &amp; TEXT(((D64*1.5)/1440),"h:mm") &amp; "h | " &amp; D64 &amp; "km"
)</f>
        <v>- COLHEITADEIRA: *1CQS550AER0155105*_x000D_
- A:3,80 x C:10,00 x L:3,70-4,20 x P:15.938kg_x000D_
- *Cliente*: MARCELO RIBEIRO NARDI -NF278794  VOLTA_x000D_
- *Obs:* DANILO - MARCELO _x000D_
- *De*: https://maps.app.goo.gl/2DJawZBMR4yqycss9_x000D_
- *Para*: MACPONTA AGRO DE PONTA GROSSA_x000D_
- *Ida e volta*: +/- 3:45h | 150km</v>
      </c>
    </row>
    <row r="65" spans="1:21" ht="14.4" x14ac:dyDescent="0.3">
      <c r="A65" s="12" t="s">
        <v>308</v>
      </c>
      <c r="B65" s="10" t="s">
        <v>306</v>
      </c>
      <c r="C65" s="97">
        <f t="shared" si="2"/>
        <v>0.49479166666666669</v>
      </c>
      <c r="D65" s="10">
        <v>475</v>
      </c>
      <c r="E65" s="98">
        <f t="shared" ref="E65:E78" si="9">IFERROR((D65*6),"?")</f>
        <v>2850</v>
      </c>
      <c r="F65" s="99"/>
      <c r="G65" s="10" t="s">
        <v>309</v>
      </c>
      <c r="H65" s="100">
        <v>45982</v>
      </c>
      <c r="I65" s="101"/>
      <c r="J65" s="10" t="s">
        <v>310</v>
      </c>
      <c r="K65" s="10" t="s">
        <v>179</v>
      </c>
      <c r="L65" s="10" t="s">
        <v>125</v>
      </c>
      <c r="M65" s="10" t="s">
        <v>109</v>
      </c>
      <c r="N65" s="12" t="s">
        <v>110</v>
      </c>
      <c r="O65" s="10" t="s">
        <v>111</v>
      </c>
      <c r="P65" s="102" t="s">
        <v>311</v>
      </c>
      <c r="Q65" s="10" t="s">
        <v>312</v>
      </c>
      <c r="R65" s="10" t="s">
        <v>50</v>
      </c>
      <c r="S65" s="10" t="s">
        <v>10</v>
      </c>
      <c r="T65" s="2" t="str">
        <f t="shared" si="8"/>
        <v>6100J</v>
      </c>
      <c r="U65" s="2" t="str" cm="1">
        <f t="array" ref="U65">_xlfn.LET(
  _xlpm.ch, TRIM(SUBSTITUTE(G65,CHAR(160),"")),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IF(L65="CLIENTE", O65, IF(LEFT(L65,4)="http", L65, "MACPONTA AGRO DE "&amp;L65)),
  _xlpm.paraBase, IF(M65="CLIENTE", P65, M65),
  _xlpm.paraTxt, IF(LEFT(_xlpm.paraBase,4)="http", _xlpm.paraBase, "MACPONTA AGRO DE "&amp;_xlpm.paraBase),
  _xlpm.nfParte, IF(LEN(TRIM(I65))=0, "", " -NF "&amp;TRIM(I65)),
  "- " &amp; _xlpm.tipotxt &amp; ": *" &amp; G65 &amp; "*" &amp; CHAR(13)&amp;CHAR(10) &amp;
  "- " &amp; _xlpm.dimtxt &amp; CHAR(13)&amp;CHAR(10) &amp;
  "- *Cliente*: " &amp; J65 &amp; _xlpm.nfParte &amp; CHAR(13)&amp;CHAR(10) &amp;
  "- *Obs:* " &amp; Q65 &amp; CHAR(13)&amp;CHAR(10) &amp; CHAR(10) &amp;
  "- *De*: " &amp; _xlpm.deTxt &amp; CHAR(13)&amp;CHAR(10) &amp;
  "- *Para*: " &amp; _xlpm.paraTxt &amp; CHAR(13)&amp;CHAR(10) &amp;
  "- *Ida e volta*: +/- " &amp; TEXT(((D65*1.5)/1440),"h:mm") &amp; "h | " &amp; D65 &amp; "km"
)</f>
        <v>- TRATOR: *1BM6100JTSD602559*_x000D_
- _x000D_
- *Cliente*: HAROLDO L R FILHO -NF109957_x000D_
- *Obs:* Haroldo (51)99902-8053_x000D_
- *De*: MACPONTA AGRO DE GUARAPUAVA_x000D_
- *Para*: https://maps.app.goo.gl/SAQGugLBfo1Uqy2XA?g_st=awb_x000D_
- *Ida e volta*: +/- 11:52h | 475km</v>
      </c>
    </row>
    <row r="66" spans="1:21" ht="14.4" x14ac:dyDescent="0.3">
      <c r="A66" s="12" t="s">
        <v>305</v>
      </c>
      <c r="B66" s="10" t="s">
        <v>306</v>
      </c>
      <c r="C66" s="97">
        <f t="shared" ref="C66:C90" si="10">IFERROR((D66*1.5)/1440, "?")</f>
        <v>8.5416666666666669E-2</v>
      </c>
      <c r="D66" s="10">
        <v>82</v>
      </c>
      <c r="E66" s="98">
        <f t="shared" si="9"/>
        <v>492</v>
      </c>
      <c r="F66" s="99"/>
      <c r="G66" s="10" t="s">
        <v>313</v>
      </c>
      <c r="H66" s="100">
        <v>45983</v>
      </c>
      <c r="I66" s="101"/>
      <c r="J66" s="10" t="s">
        <v>314</v>
      </c>
      <c r="K66" s="10" t="s">
        <v>147</v>
      </c>
      <c r="L66" s="10" t="s">
        <v>142</v>
      </c>
      <c r="M66" s="10" t="s">
        <v>109</v>
      </c>
      <c r="N66" s="12" t="s">
        <v>252</v>
      </c>
      <c r="O66" s="10" t="s">
        <v>111</v>
      </c>
      <c r="P66" s="12" t="s">
        <v>315</v>
      </c>
      <c r="Q66" s="10"/>
      <c r="R66" s="10" t="s">
        <v>142</v>
      </c>
      <c r="S66" s="10" t="s">
        <v>10</v>
      </c>
      <c r="T66" s="2" t="str">
        <f t="shared" si="8"/>
        <v>5080E</v>
      </c>
      <c r="U66" s="2" t="str" cm="1">
        <f t="array" ref="U66">_xlfn.LET(
  _xlpm.ch, TRIM(SUBSTITUTE(G66,CHAR(160),"")),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IF(L66="CLIENTE", O66, IF(LEFT(L66,4)="http", L66, "MACPONTA AGRO DE "&amp;L66)),
  _xlpm.paraBase, IF(M66="CLIENTE", P66, M66),
  _xlpm.paraTxt, IF(LEFT(_xlpm.paraBase,4)="http", _xlpm.paraBase, "MACPONTA AGRO DE "&amp;_xlpm.paraBase),
  _xlpm.nfParte, IF(LEN(TRIM(I66))=0, "", " -NF "&amp;TRIM(I66)),
  "- " &amp; _xlpm.tipotxt &amp; ": *" &amp; G66 &amp; "*" &amp; CHAR(13)&amp;CHAR(10) &amp;
  "- " &amp; _xlpm.dimtxt &amp; CHAR(13)&amp;CHAR(10) &amp;
  "- *Cliente*: " &amp; J66 &amp; _xlpm.nfParte &amp; CHAR(13)&amp;CHAR(10) &amp;
  "- *Obs:* " &amp; Q66 &amp; CHAR(13)&amp;CHAR(10) &amp; CHAR(10) &amp;
  "- *De*: " &amp; _xlpm.deTxt &amp; CHAR(13)&amp;CHAR(10) &amp;
  "- *Para*: " &amp; _xlpm.paraTxt &amp; CHAR(13)&amp;CHAR(10) &amp;
  "- *Ida e volta*: +/- " &amp; TEXT(((D66*1.5)/1440),"h:mm") &amp; "h | " &amp; D66 &amp; "km"
)</f>
        <v>- TRATOR: *1BM5080EPS6204421*_x000D_
- _x000D_
- *Cliente*: NÃO INFORMADO- NÃO TEM NF_x000D_
- *Obs:* _x000D_
- *De*: MACPONTA AGRO DE PONTA GROSSA_x000D_
- *Para*: https://maps.app.goo.gl/BxL47zGps2wAbAig9_x000D_
- *Ida e volta*: +/- 2:03h | 82km</v>
      </c>
    </row>
    <row r="67" spans="1:21" ht="14.4" x14ac:dyDescent="0.3">
      <c r="A67" s="12" t="s">
        <v>305</v>
      </c>
      <c r="B67" s="10" t="s">
        <v>306</v>
      </c>
      <c r="C67" s="97">
        <f t="shared" si="10"/>
        <v>0.15625</v>
      </c>
      <c r="D67" s="10">
        <v>150</v>
      </c>
      <c r="E67" s="98">
        <f t="shared" si="9"/>
        <v>900</v>
      </c>
      <c r="F67" s="99"/>
      <c r="G67" s="10" t="s">
        <v>316</v>
      </c>
      <c r="H67" s="100">
        <v>45983</v>
      </c>
      <c r="I67" s="101"/>
      <c r="J67" s="10" t="s">
        <v>317</v>
      </c>
      <c r="K67" s="10" t="s">
        <v>301</v>
      </c>
      <c r="L67" s="10" t="s">
        <v>142</v>
      </c>
      <c r="M67" s="10" t="s">
        <v>109</v>
      </c>
      <c r="N67" s="12" t="s">
        <v>252</v>
      </c>
      <c r="O67" s="10" t="s">
        <v>111</v>
      </c>
      <c r="P67" s="137" t="s">
        <v>318</v>
      </c>
      <c r="Q67" s="10" t="s">
        <v>319</v>
      </c>
      <c r="R67" s="10" t="s">
        <v>142</v>
      </c>
      <c r="S67" s="10" t="s">
        <v>10</v>
      </c>
      <c r="T67" s="2" t="str">
        <f t="shared" si="8"/>
        <v>5060E</v>
      </c>
      <c r="U67" s="2" t="str" cm="1">
        <f t="array" ref="U67">_xlfn.LET(
  _xlpm.ch, TRIM(SUBSTITUTE(G67,CHAR(160),"")),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IF(L67="CLIENTE", O67, IF(LEFT(L67,4)="http", L67, "MACPONTA AGRO DE "&amp;L67)),
  _xlpm.paraBase, IF(M67="CLIENTE", P67, M67),
  _xlpm.paraTxt, IF(LEFT(_xlpm.paraBase,4)="http", _xlpm.paraBase, "MACPONTA AGRO DE "&amp;_xlpm.paraBase),
  _xlpm.nfParte, IF(LEN(TRIM(I67))=0, "", " -NF "&amp;TRIM(I67)),
  "- " &amp; _xlpm.tipotxt &amp; ": *" &amp; G67 &amp; "*" &amp; CHAR(13)&amp;CHAR(10) &amp;
  "- " &amp; _xlpm.dimtxt &amp; CHAR(13)&amp;CHAR(10) &amp;
  "- *Cliente*: " &amp; J67 &amp; _xlpm.nfParte &amp; CHAR(13)&amp;CHAR(10) &amp;
  "- *Obs:* " &amp; Q67 &amp; CHAR(13)&amp;CHAR(10) &amp; CHAR(10) &amp;
  "- *De*: " &amp; _xlpm.deTxt &amp; CHAR(13)&amp;CHAR(10) &amp;
  "- *Para*: " &amp; _xlpm.paraTxt &amp; CHAR(13)&amp;CHAR(10) &amp;
  "- *Ida e volta*: +/- " &amp; TEXT(((D67*1.5)/1440),"h:mm") &amp; "h | " &amp; D67 &amp; "km"
)</f>
        <v>- TRATOR: *1BM5060EES4201644*_x000D_
- _x000D_
- *Cliente*: Conexão JD -NF279152_x000D_
- *Obs:* Conexão JD - Estática - Palmeira -Água Clara_x000D_
- *De*: MACPONTA AGRO DE PONTA GROSSA_x000D_
- *Para*: https://maps.app.goo.gl/tbQZRQV4a7fp35NM6_x000D_
- *Ida e volta*: +/- 3:45h | 150km</v>
      </c>
    </row>
    <row r="68" spans="1:21" ht="14.4" x14ac:dyDescent="0.3">
      <c r="A68" s="12" t="s">
        <v>305</v>
      </c>
      <c r="B68" s="10" t="s">
        <v>306</v>
      </c>
      <c r="C68" s="97">
        <f t="shared" si="10"/>
        <v>0.15625</v>
      </c>
      <c r="D68" s="10">
        <v>150</v>
      </c>
      <c r="E68" s="98">
        <f t="shared" si="9"/>
        <v>900</v>
      </c>
      <c r="F68" s="99"/>
      <c r="G68" s="10" t="s">
        <v>320</v>
      </c>
      <c r="H68" s="100">
        <v>45983</v>
      </c>
      <c r="I68" s="101"/>
      <c r="J68" s="10" t="s">
        <v>317</v>
      </c>
      <c r="K68" s="10" t="s">
        <v>301</v>
      </c>
      <c r="L68" s="10" t="s">
        <v>142</v>
      </c>
      <c r="M68" s="10" t="s">
        <v>109</v>
      </c>
      <c r="N68" s="12" t="s">
        <v>252</v>
      </c>
      <c r="O68" s="10" t="s">
        <v>111</v>
      </c>
      <c r="P68" s="137" t="s">
        <v>318</v>
      </c>
      <c r="Q68" s="10" t="s">
        <v>319</v>
      </c>
      <c r="R68" s="10" t="s">
        <v>142</v>
      </c>
      <c r="S68" s="10" t="s">
        <v>10</v>
      </c>
      <c r="T68" s="2" t="str">
        <f t="shared" si="8"/>
        <v>5080E</v>
      </c>
      <c r="U68" s="2" t="str" cm="1">
        <f t="array" ref="U68">_xlfn.LET(
  _xlpm.ch, TRIM(SUBSTITUTE(G68,CHAR(160),"")),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IF(L68="CLIENTE", O68, IF(LEFT(L68,4)="http", L68, "MACPONTA AGRO DE "&amp;L68)),
  _xlpm.paraBase, IF(M68="CLIENTE", P68, M68),
  _xlpm.paraTxt, IF(LEFT(_xlpm.paraBase,4)="http", _xlpm.paraBase, "MACPONTA AGRO DE "&amp;_xlpm.paraBase),
  _xlpm.nfParte, IF(LEN(TRIM(I68))=0, "", " -NF "&amp;TRIM(I68)),
  "- " &amp; _xlpm.tipotxt &amp; ": *" &amp; G68 &amp; "*" &amp; CHAR(13)&amp;CHAR(10) &amp;
  "- " &amp; _xlpm.dimtxt &amp; CHAR(13)&amp;CHAR(10) &amp;
  "- *Cliente*: " &amp; J68 &amp; _xlpm.nfParte &amp; CHAR(13)&amp;CHAR(10) &amp;
  "- *Obs:* " &amp; Q68 &amp; CHAR(13)&amp;CHAR(10) &amp; CHAR(10) &amp;
  "- *De*: " &amp; _xlpm.deTxt &amp; CHAR(13)&amp;CHAR(10) &amp;
  "- *Para*: " &amp; _xlpm.paraTxt &amp; CHAR(13)&amp;CHAR(10) &amp;
  "- *Ida e volta*: +/- " &amp; TEXT(((D68*1.5)/1440),"h:mm") &amp; "h | " &amp; D68 &amp; "km"
)</f>
        <v>- TRATOR: *1BM5080ECS4204234*_x000D_
- _x000D_
- *Cliente*: Conexão JD -NF279152_x000D_
- *Obs:* Conexão JD - Estática - Palmeira -Água Clara_x000D_
- *De*: MACPONTA AGRO DE PONTA GROSSA_x000D_
- *Para*: https://maps.app.goo.gl/tbQZRQV4a7fp35NM6_x000D_
- *Ida e volta*: +/- 3:45h | 150km</v>
      </c>
    </row>
    <row r="69" spans="1:21" ht="14.4" x14ac:dyDescent="0.3">
      <c r="A69" s="12" t="s">
        <v>305</v>
      </c>
      <c r="B69" s="10" t="s">
        <v>306</v>
      </c>
      <c r="C69" s="97">
        <f t="shared" si="10"/>
        <v>0.15625</v>
      </c>
      <c r="D69" s="10">
        <v>150</v>
      </c>
      <c r="E69" s="98">
        <f t="shared" si="9"/>
        <v>900</v>
      </c>
      <c r="F69" s="99"/>
      <c r="G69" s="10" t="s">
        <v>321</v>
      </c>
      <c r="H69" s="100">
        <v>45983</v>
      </c>
      <c r="I69" s="101"/>
      <c r="J69" s="10" t="s">
        <v>317</v>
      </c>
      <c r="K69" s="10" t="s">
        <v>301</v>
      </c>
      <c r="L69" s="10" t="s">
        <v>142</v>
      </c>
      <c r="M69" s="10" t="s">
        <v>109</v>
      </c>
      <c r="N69" s="12" t="s">
        <v>252</v>
      </c>
      <c r="O69" s="10" t="s">
        <v>111</v>
      </c>
      <c r="P69" s="137" t="s">
        <v>318</v>
      </c>
      <c r="Q69" s="10" t="s">
        <v>319</v>
      </c>
      <c r="R69" s="10" t="s">
        <v>142</v>
      </c>
      <c r="S69" s="10" t="s">
        <v>10</v>
      </c>
      <c r="T69" s="2" t="str">
        <f t="shared" si="8"/>
        <v>5080E</v>
      </c>
      <c r="U69" s="2" t="str" cm="1">
        <f t="array" ref="U69">_xlfn.LET(
  _xlpm.ch, TRIM(SUBSTITUTE(G69,CHAR(160),"")),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TRIM(SUBSTITUTE(T69,CHAR(160),"")),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IF(L69="CLIENTE", O69, IF(LEFT(L69,4)="http", L69, "MACPONTA AGRO DE "&amp;L69)),
  _xlpm.paraBase, IF(M69="CLIENTE", P69, M69),
  _xlpm.paraTxt, IF(LEFT(_xlpm.paraBase,4)="http", _xlpm.paraBase, "MACPONTA AGRO DE "&amp;_xlpm.paraBase),
  _xlpm.nfParte, IF(LEN(TRIM(I69))=0, "", " -NF "&amp;TRIM(I69)),
  "- " &amp; _xlpm.tipotxt &amp; ": *" &amp; G69 &amp; "*" &amp; CHAR(13)&amp;CHAR(10) &amp;
  "- " &amp; _xlpm.dimtxt &amp; CHAR(13)&amp;CHAR(10) &amp;
  "- *Cliente*: " &amp; J69 &amp; _xlpm.nfParte &amp; CHAR(13)&amp;CHAR(10) &amp;
  "- *Obs:* " &amp; Q69 &amp; CHAR(13)&amp;CHAR(10) &amp; CHAR(10) &amp;
  "- *De*: " &amp; _xlpm.deTxt &amp; CHAR(13)&amp;CHAR(10) &amp;
  "- *Para*: " &amp; _xlpm.paraTxt &amp; CHAR(13)&amp;CHAR(10) &amp;
  "- *Ida e volta*: +/- " &amp; TEXT(((D69*1.5)/1440),"h:mm") &amp; "h | " &amp; D69 &amp; "km"
)</f>
        <v>- TRATOR: *1BM5080ELS4204066*_x000D_
- _x000D_
- *Cliente*: Conexão JD -NF279152_x000D_
- *Obs:* Conexão JD - Estática - Palmeira -Água Clara_x000D_
- *De*: MACPONTA AGRO DE PONTA GROSSA_x000D_
- *Para*: https://maps.app.goo.gl/tbQZRQV4a7fp35NM6_x000D_
- *Ida e volta*: +/- 3:45h | 150km</v>
      </c>
    </row>
    <row r="70" spans="1:21" ht="14.4" x14ac:dyDescent="0.3">
      <c r="A70" s="12" t="s">
        <v>305</v>
      </c>
      <c r="B70" s="10" t="s">
        <v>306</v>
      </c>
      <c r="C70" s="97">
        <f t="shared" si="10"/>
        <v>2.6041666666666668E-2</v>
      </c>
      <c r="D70" s="10">
        <v>25</v>
      </c>
      <c r="E70" s="98">
        <f t="shared" si="9"/>
        <v>150</v>
      </c>
      <c r="F70" s="99"/>
      <c r="G70" s="10" t="s">
        <v>299</v>
      </c>
      <c r="H70" s="100">
        <v>45985</v>
      </c>
      <c r="I70" s="101"/>
      <c r="J70" s="139" t="s">
        <v>322</v>
      </c>
      <c r="K70" s="10" t="s">
        <v>301</v>
      </c>
      <c r="L70" s="10" t="s">
        <v>142</v>
      </c>
      <c r="M70" s="10" t="s">
        <v>109</v>
      </c>
      <c r="N70" s="12" t="s">
        <v>252</v>
      </c>
      <c r="O70" s="10" t="s">
        <v>111</v>
      </c>
      <c r="P70" s="137" t="s">
        <v>323</v>
      </c>
      <c r="Q70" s="10" t="s">
        <v>324</v>
      </c>
      <c r="R70" s="10" t="s">
        <v>142</v>
      </c>
      <c r="S70" s="10" t="s">
        <v>10</v>
      </c>
      <c r="T70" s="2" t="str">
        <f t="shared" si="8"/>
        <v>7215C</v>
      </c>
      <c r="U70" s="2" t="str" cm="1">
        <f t="array" ref="U70">_xlfn.LET(
  _xlpm.ch, TRIM(SUBSTITUTE(G70,CHAR(160),"")),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IF(L70="CLIENTE", O70, IF(LEFT(L70,4)="http", L70, "MACPONTA AGRO DE "&amp;L70)),
  _xlpm.paraBase, IF(M70="CLIENTE", P70, M70),
  _xlpm.paraTxt, IF(LEFT(_xlpm.paraBase,4)="http", _xlpm.paraBase, "MACPONTA AGRO DE "&amp;_xlpm.paraBase),
  _xlpm.nfParte, IF(LEN(TRIM(I70))=0, "", " -NF "&amp;TRIM(I70)),
  "- " &amp; _xlpm.tipotxt &amp; ": *" &amp; G70 &amp; "*" &amp; CHAR(13)&amp;CHAR(10) &amp;
  "- " &amp; _xlpm.dimtxt &amp; CHAR(13)&amp;CHAR(10) &amp;
  "- *Cliente*: " &amp; J70 &amp; _xlpm.nfParte &amp; CHAR(13)&amp;CHAR(10) &amp;
  "- *Obs:* " &amp; Q70 &amp; CHAR(13)&amp;CHAR(10) &amp; CHAR(10) &amp;
  "- *De*: " &amp; _xlpm.deTxt &amp; CHAR(13)&amp;CHAR(10) &amp;
  "- *Para*: " &amp; _xlpm.paraTxt &amp; CHAR(13)&amp;CHAR(10) &amp;
  "- *Ida e volta*: +/- " &amp; TEXT(((D70*1.5)/1440),"h:mm") &amp; "h | " &amp; D70 &amp; "km"
)</f>
        <v>- TRATOR: *1BM7215CJSH000128*_x000D_
- _x000D_
- *Cliente*: GOLFE CLUB -NF79151 VOLTA_x000D_
- *Obs:* DEMO - Golfe Clube *16h00 - Ponta Grossa_x000D_
- *De*: MACPONTA AGRO DE PONTA GROSSA_x000D_
- *Para*: https://maps.app.goo.gl/rhzoBgFndL48HhK79_x000D_
- *Ida e volta*: +/- 0:37h | 25km</v>
      </c>
    </row>
    <row r="71" spans="1:21" ht="14.4" x14ac:dyDescent="0.3">
      <c r="A71" s="12" t="s">
        <v>305</v>
      </c>
      <c r="B71" s="10" t="s">
        <v>306</v>
      </c>
      <c r="C71" s="97">
        <f t="shared" si="10"/>
        <v>0.52083333333333337</v>
      </c>
      <c r="D71" s="10">
        <v>500</v>
      </c>
      <c r="E71" s="98">
        <f t="shared" si="9"/>
        <v>3000</v>
      </c>
      <c r="F71" s="99"/>
      <c r="G71" s="10" t="s">
        <v>325</v>
      </c>
      <c r="H71" s="100">
        <v>45985</v>
      </c>
      <c r="I71" s="101"/>
      <c r="J71" s="139" t="s">
        <v>322</v>
      </c>
      <c r="K71" s="10" t="s">
        <v>301</v>
      </c>
      <c r="L71" s="10" t="s">
        <v>142</v>
      </c>
      <c r="M71" s="10" t="s">
        <v>109</v>
      </c>
      <c r="N71" s="12" t="s">
        <v>252</v>
      </c>
      <c r="O71" s="10" t="s">
        <v>111</v>
      </c>
      <c r="P71" s="137" t="s">
        <v>323</v>
      </c>
      <c r="Q71" s="10" t="s">
        <v>324</v>
      </c>
      <c r="R71" s="10" t="s">
        <v>142</v>
      </c>
      <c r="S71" s="10" t="s">
        <v>10</v>
      </c>
      <c r="T71" s="2" t="str">
        <f t="shared" si="8"/>
        <v>7230C</v>
      </c>
      <c r="U71" s="2" t="str" cm="1">
        <f t="array" ref="U71">_xlfn.LET(
  _xlpm.ch, TRIM(SUBSTITUTE(G71,CHAR(160),"")),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IF(L71="CLIENTE", O71, IF(LEFT(L71,4)="http", L71, "MACPONTA AGRO DE "&amp;L71)),
  _xlpm.paraBase, IF(M71="CLIENTE", P71, M71),
  _xlpm.paraTxt, IF(LEFT(_xlpm.paraBase,4)="http", _xlpm.paraBase, "MACPONTA AGRO DE "&amp;_xlpm.paraBase),
  _xlpm.nfParte, IF(LEN(TRIM(I71))=0, "", " -NF "&amp;TRIM(I71)),
  "- " &amp; _xlpm.tipotxt &amp; ": *" &amp; G71 &amp; "*" &amp; CHAR(13)&amp;CHAR(10) &amp;
  "- " &amp; _xlpm.dimtxt &amp; CHAR(13)&amp;CHAR(10) &amp;
  "- *Cliente*: " &amp; J71 &amp; _xlpm.nfParte &amp; CHAR(13)&amp;CHAR(10) &amp;
  "- *Obs:* " &amp; Q71 &amp; CHAR(13)&amp;CHAR(10) &amp; CHAR(10) &amp;
  "- *De*: " &amp; _xlpm.deTxt &amp; CHAR(13)&amp;CHAR(10) &amp;
  "- *Para*: " &amp; _xlpm.paraTxt &amp; CHAR(13)&amp;CHAR(10) &amp;
  "- *Ida e volta*: +/- " &amp; TEXT(((D71*1.5)/1440),"h:mm") &amp; "h | " &amp; D71 &amp; "km"
)</f>
        <v>- TRATOR: *1BM7230CKS3002086*_x000D_
- _x000D_
- *Cliente*: GOLFE CLUB -NF79151 VOLTA_x000D_
- *Obs:* DEMO - Golfe Clube *16h00 - Ponta Grossa_x000D_
- *De*: MACPONTA AGRO DE PONTA GROSSA_x000D_
- *Para*: https://maps.app.goo.gl/rhzoBgFndL48HhK79_x000D_
- *Ida e volta*: +/- 12:30h | 500km</v>
      </c>
    </row>
    <row r="72" spans="1:21" ht="14.4" x14ac:dyDescent="0.3">
      <c r="A72" s="12" t="s">
        <v>305</v>
      </c>
      <c r="B72" s="10" t="s">
        <v>306</v>
      </c>
      <c r="C72" s="97">
        <f t="shared" si="10"/>
        <v>0.20833333333333334</v>
      </c>
      <c r="D72" s="10">
        <v>200</v>
      </c>
      <c r="E72" s="98">
        <f t="shared" si="9"/>
        <v>1200</v>
      </c>
      <c r="F72" s="99"/>
      <c r="G72" s="10" t="s">
        <v>259</v>
      </c>
      <c r="H72" s="100">
        <v>45985</v>
      </c>
      <c r="I72" s="101"/>
      <c r="J72" s="139" t="s">
        <v>326</v>
      </c>
      <c r="K72" s="10" t="s">
        <v>168</v>
      </c>
      <c r="L72" s="10" t="s">
        <v>109</v>
      </c>
      <c r="M72" s="10" t="s">
        <v>109</v>
      </c>
      <c r="N72" s="12" t="s">
        <v>261</v>
      </c>
      <c r="O72" s="10"/>
      <c r="P72" s="137" t="s">
        <v>262</v>
      </c>
      <c r="Q72" s="10"/>
      <c r="R72" s="10" t="s">
        <v>47</v>
      </c>
      <c r="S72" s="10" t="s">
        <v>10</v>
      </c>
      <c r="T72" s="2" t="str">
        <f t="shared" si="8"/>
        <v>7230C</v>
      </c>
      <c r="U72" s="2" t="str" cm="1">
        <f t="array" ref="U72">_xlfn.LET(
  _xlpm.ch, TRIM(SUBSTITUTE(G72,CHAR(160),"")),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IF(L72="CLIENTE", O72, IF(LEFT(L72,4)="http", L72, "MACPONTA AGRO DE "&amp;L72)),
  _xlpm.paraBase, IF(M72="CLIENTE", P72, M72),
  _xlpm.paraTxt, IF(LEFT(_xlpm.paraBase,4)="http", _xlpm.paraBase, "MACPONTA AGRO DE "&amp;_xlpm.paraBase),
  _xlpm.nfParte, IF(LEN(TRIM(I72))=0, "", " -NF "&amp;TRIM(I72)),
  "- " &amp; _xlpm.tipotxt &amp; ": *" &amp; G72 &amp; "*" &amp; CHAR(13)&amp;CHAR(10) &amp;
  "- " &amp; _xlpm.dimtxt &amp; CHAR(13)&amp;CHAR(10) &amp;
  "- *Cliente*: " &amp; J72 &amp; _xlpm.nfParte &amp; CHAR(13)&amp;CHAR(10) &amp;
  "- *Obs:* " &amp; Q72 &amp; CHAR(13)&amp;CHAR(10) &amp; CHAR(10) &amp;
  "- *De*: " &amp; _xlpm.deTxt &amp; CHAR(13)&amp;CHAR(10) &amp;
  "- *Para*: " &amp; _xlpm.paraTxt &amp; CHAR(13)&amp;CHAR(10) &amp;
  "- *Ida e volta*: +/- " &amp; TEXT(((D72*1.5)/1440),"h:mm") &amp; "h | " &amp; D72 &amp; "km"
)</f>
        <v>- TRATOR: *1BM7230CVS3001962*_x000D_
- _x000D_
- *Cliente*: FAZENDINHA -NF61895  VOLTA_x000D_
- *Obs:* _x000D_
- *De*: _x000D_
- *Para*: https://maps.app.goo.gl/HAQzMitpSPVxhKFi9_x000D_
- *Ida e volta*: +/- 5:00h | 200km</v>
      </c>
    </row>
    <row r="73" spans="1:21" ht="14.4" x14ac:dyDescent="0.3">
      <c r="A73" s="12" t="s">
        <v>305</v>
      </c>
      <c r="B73" s="10" t="s">
        <v>306</v>
      </c>
      <c r="C73" s="97">
        <f t="shared" si="10"/>
        <v>0.19479166666666667</v>
      </c>
      <c r="D73" s="10">
        <v>187</v>
      </c>
      <c r="E73" s="98">
        <f t="shared" si="9"/>
        <v>1122</v>
      </c>
      <c r="F73" s="99"/>
      <c r="G73" s="10" t="s">
        <v>267</v>
      </c>
      <c r="H73" s="100">
        <v>45985</v>
      </c>
      <c r="I73" s="101"/>
      <c r="J73" s="139" t="s">
        <v>326</v>
      </c>
      <c r="K73" s="10" t="s">
        <v>168</v>
      </c>
      <c r="L73" s="10" t="s">
        <v>47</v>
      </c>
      <c r="M73" s="10" t="s">
        <v>109</v>
      </c>
      <c r="N73" s="12" t="s">
        <v>119</v>
      </c>
      <c r="O73" s="10" t="s">
        <v>111</v>
      </c>
      <c r="P73" s="137" t="s">
        <v>262</v>
      </c>
      <c r="Q73" s="10"/>
      <c r="R73" s="10" t="s">
        <v>47</v>
      </c>
      <c r="S73" s="10" t="s">
        <v>7</v>
      </c>
      <c r="T73" s="2" t="str">
        <f t="shared" si="8"/>
        <v>1213</v>
      </c>
      <c r="U73" s="2" t="str" cm="1">
        <f t="array" ref="U73">_xlfn.LET(
  _xlpm.ch, TRIM(SUBSTITUTE(G73,CHAR(160),"")),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IF(L73="CLIENTE", O73, IF(LEFT(L73,4)="http", L73, "MACPONTA AGRO DE "&amp;L73)),
  _xlpm.paraBase, IF(M73="CLIENTE", P73, M73),
  _xlpm.paraTxt, IF(LEFT(_xlpm.paraBase,4)="http", _xlpm.paraBase, "MACPONTA AGRO DE "&amp;_xlpm.paraBase),
  _xlpm.nfParte, IF(LEN(TRIM(I73))=0, "", " -NF "&amp;TRIM(I73)),
  "- " &amp; _xlpm.tipotxt &amp; ": *" &amp; G73 &amp; "*" &amp; CHAR(13)&amp;CHAR(10) &amp;
  "- " &amp; _xlpm.dimtxt &amp; CHAR(13)&amp;CHAR(10) &amp;
  "- *Cliente*: " &amp; J73 &amp; _xlpm.nfParte &amp; CHAR(13)&amp;CHAR(10) &amp;
  "- *Obs:* " &amp; Q73 &amp; CHAR(13)&amp;CHAR(10) &amp; CHAR(10) &amp;
  "- *De*: " &amp; _xlpm.deTxt &amp; CHAR(13)&amp;CHAR(10) &amp;
  "- *Para*: " &amp; _xlpm.paraTxt &amp; CHAR(13)&amp;CHAR(10) &amp;
  "- *Ida e volta*: +/- " &amp; TEXT(((D73*1.5)/1440),"h:mm") &amp; "h | " &amp; D73 &amp; "km"
)</f>
        <v>- PLANTADEIRA: *1CQ1213AHS0155196*_x000D_
- A:2,45 x C:7,00 x L:3,20-3,20 x P:6.025kg_x000D_
- *Cliente*: FAZENDINHA -NF61895  VOLTA_x000D_
- *Obs:* _x000D_
- *De*: MACPONTA AGRO DE ARAPOTI_x000D_
- *Para*: https://maps.app.goo.gl/HAQzMitpSPVxhKFi9_x000D_
- *Ida e volta*: +/- 4:40h | 187km</v>
      </c>
    </row>
    <row r="74" spans="1:21" ht="14.4" x14ac:dyDescent="0.3">
      <c r="A74" s="12" t="s">
        <v>305</v>
      </c>
      <c r="B74" s="10" t="s">
        <v>306</v>
      </c>
      <c r="C74" s="97">
        <f t="shared" si="10"/>
        <v>0.15625</v>
      </c>
      <c r="D74" s="10">
        <v>150</v>
      </c>
      <c r="E74" s="98">
        <f t="shared" si="9"/>
        <v>900</v>
      </c>
      <c r="F74" s="99"/>
      <c r="G74" s="10" t="s">
        <v>316</v>
      </c>
      <c r="H74" s="100">
        <v>45986</v>
      </c>
      <c r="I74" s="101"/>
      <c r="J74" s="139" t="s">
        <v>327</v>
      </c>
      <c r="K74" s="10" t="s">
        <v>301</v>
      </c>
      <c r="L74" s="10" t="s">
        <v>142</v>
      </c>
      <c r="M74" s="10" t="s">
        <v>109</v>
      </c>
      <c r="N74" s="12" t="s">
        <v>252</v>
      </c>
      <c r="O74" s="10" t="s">
        <v>111</v>
      </c>
      <c r="P74" s="137" t="s">
        <v>318</v>
      </c>
      <c r="Q74" s="10" t="s">
        <v>319</v>
      </c>
      <c r="R74" s="10" t="s">
        <v>142</v>
      </c>
      <c r="S74" s="10" t="s">
        <v>10</v>
      </c>
      <c r="T74" s="2" t="str">
        <f t="shared" si="8"/>
        <v>5060E</v>
      </c>
      <c r="U74" s="2" t="str" cm="1">
        <f t="array" ref="U74">_xlfn.LET(
  _xlpm.ch, TRIM(SUBSTITUTE(G74,CHAR(160),"")),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IF(L74="CLIENTE", O74, IF(LEFT(L74,4)="http", L74, "MACPONTA AGRO DE "&amp;L74)),
  _xlpm.paraBase, IF(M74="CLIENTE", P74, M74),
  _xlpm.paraTxt, IF(LEFT(_xlpm.paraBase,4)="http", _xlpm.paraBase, "MACPONTA AGRO DE "&amp;_xlpm.paraBase),
  _xlpm.nfParte, IF(LEN(TRIM(I74))=0, "", " -NF "&amp;TRIM(I74)),
  "- " &amp; _xlpm.tipotxt &amp; ": *" &amp; G74 &amp; "*" &amp; CHAR(13)&amp;CHAR(10) &amp;
  "- " &amp; _xlpm.dimtxt &amp; CHAR(13)&amp;CHAR(10) &amp;
  "- *Cliente*: " &amp; J74 &amp; _xlpm.nfParte &amp; CHAR(13)&amp;CHAR(10) &amp;
  "- *Obs:* " &amp; Q74 &amp; CHAR(13)&amp;CHAR(10) &amp; CHAR(10) &amp;
  "- *De*: " &amp; _xlpm.deTxt &amp; CHAR(13)&amp;CHAR(10) &amp;
  "- *Para*: " &amp; _xlpm.paraTxt &amp; CHAR(13)&amp;CHAR(10) &amp;
  "- *Ida e volta*: +/- " &amp; TEXT(((D74*1.5)/1440),"h:mm") &amp; "h | " &amp; D74 &amp; "km"
)</f>
        <v>- TRATOR: *1BM5060EES4201644*_x000D_
- _x000D_
- *Cliente*: Conexão JD -NF279152  VOLTA_x000D_
- *Obs:* Conexão JD - Estática - Palmeira -Água Clara_x000D_
- *De*: MACPONTA AGRO DE PONTA GROSSA_x000D_
- *Para*: https://maps.app.goo.gl/tbQZRQV4a7fp35NM6_x000D_
- *Ida e volta*: +/- 3:45h | 150km</v>
      </c>
    </row>
    <row r="75" spans="1:21" ht="14.4" x14ac:dyDescent="0.3">
      <c r="A75" s="12" t="s">
        <v>305</v>
      </c>
      <c r="B75" s="10" t="s">
        <v>306</v>
      </c>
      <c r="C75" s="97">
        <f t="shared" si="10"/>
        <v>0.15625</v>
      </c>
      <c r="D75" s="10">
        <v>150</v>
      </c>
      <c r="E75" s="98">
        <f t="shared" si="9"/>
        <v>900</v>
      </c>
      <c r="F75" s="99"/>
      <c r="G75" s="10" t="s">
        <v>320</v>
      </c>
      <c r="H75" s="100">
        <v>45986</v>
      </c>
      <c r="I75" s="101"/>
      <c r="J75" s="139" t="s">
        <v>327</v>
      </c>
      <c r="K75" s="10" t="s">
        <v>301</v>
      </c>
      <c r="L75" s="10" t="s">
        <v>142</v>
      </c>
      <c r="M75" s="10" t="s">
        <v>109</v>
      </c>
      <c r="N75" s="12" t="s">
        <v>252</v>
      </c>
      <c r="O75" s="10" t="s">
        <v>111</v>
      </c>
      <c r="P75" s="137" t="s">
        <v>318</v>
      </c>
      <c r="Q75" s="10" t="s">
        <v>319</v>
      </c>
      <c r="R75" s="10" t="s">
        <v>142</v>
      </c>
      <c r="S75" s="10" t="s">
        <v>10</v>
      </c>
      <c r="T75" s="2" t="str">
        <f t="shared" si="8"/>
        <v>5080E</v>
      </c>
      <c r="U75" s="2" t="str" cm="1">
        <f t="array" ref="U75">_xlfn.LET(
  _xlpm.ch, TRIM(SUBSTITUTE(G75,CHAR(160),"")),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IF(L75="CLIENTE", O75, IF(LEFT(L75,4)="http", L75, "MACPONTA AGRO DE "&amp;L75)),
  _xlpm.paraBase, IF(M75="CLIENTE", P75, M75),
  _xlpm.paraTxt, IF(LEFT(_xlpm.paraBase,4)="http", _xlpm.paraBase, "MACPONTA AGRO DE "&amp;_xlpm.paraBase),
  _xlpm.nfParte, IF(LEN(TRIM(I75))=0, "", " -NF "&amp;TRIM(I75)),
  "- " &amp; _xlpm.tipotxt &amp; ": *" &amp; G75 &amp; "*" &amp; CHAR(13)&amp;CHAR(10) &amp;
  "- " &amp; _xlpm.dimtxt &amp; CHAR(13)&amp;CHAR(10) &amp;
  "- *Cliente*: " &amp; J75 &amp; _xlpm.nfParte &amp; CHAR(13)&amp;CHAR(10) &amp;
  "- *Obs:* " &amp; Q75 &amp; CHAR(13)&amp;CHAR(10) &amp; CHAR(10) &amp;
  "- *De*: " &amp; _xlpm.deTxt &amp; CHAR(13)&amp;CHAR(10) &amp;
  "- *Para*: " &amp; _xlpm.paraTxt &amp; CHAR(13)&amp;CHAR(10) &amp;
  "- *Ida e volta*: +/- " &amp; TEXT(((D75*1.5)/1440),"h:mm") &amp; "h | " &amp; D75 &amp; "km"
)</f>
        <v>- TRATOR: *1BM5080ECS4204234*_x000D_
- _x000D_
- *Cliente*: Conexão JD -NF279152  VOLTA_x000D_
- *Obs:* Conexão JD - Estática - Palmeira -Água Clara_x000D_
- *De*: MACPONTA AGRO DE PONTA GROSSA_x000D_
- *Para*: https://maps.app.goo.gl/tbQZRQV4a7fp35NM6_x000D_
- *Ida e volta*: +/- 3:45h | 150km</v>
      </c>
    </row>
    <row r="76" spans="1:21" ht="14.4" x14ac:dyDescent="0.3">
      <c r="A76" s="12" t="s">
        <v>305</v>
      </c>
      <c r="B76" s="10" t="s">
        <v>306</v>
      </c>
      <c r="C76" s="97">
        <f t="shared" si="10"/>
        <v>0.15625</v>
      </c>
      <c r="D76" s="10">
        <v>150</v>
      </c>
      <c r="E76" s="98">
        <f t="shared" si="9"/>
        <v>900</v>
      </c>
      <c r="F76" s="99"/>
      <c r="G76" s="10" t="s">
        <v>321</v>
      </c>
      <c r="H76" s="100">
        <v>45986</v>
      </c>
      <c r="I76" s="101"/>
      <c r="J76" s="139" t="s">
        <v>327</v>
      </c>
      <c r="K76" s="10" t="s">
        <v>301</v>
      </c>
      <c r="L76" s="10" t="s">
        <v>142</v>
      </c>
      <c r="M76" s="10" t="s">
        <v>109</v>
      </c>
      <c r="N76" s="12" t="s">
        <v>252</v>
      </c>
      <c r="O76" s="10" t="s">
        <v>111</v>
      </c>
      <c r="P76" s="137" t="s">
        <v>318</v>
      </c>
      <c r="Q76" s="10" t="s">
        <v>319</v>
      </c>
      <c r="R76" s="10" t="s">
        <v>142</v>
      </c>
      <c r="S76" s="10" t="s">
        <v>10</v>
      </c>
      <c r="T76" s="2" t="str">
        <f t="shared" si="8"/>
        <v>5080E</v>
      </c>
      <c r="U76" s="2" t="str" cm="1">
        <f t="array" ref="U76">_xlfn.LET(
  _xlpm.ch, TRIM(SUBSTITUTE(G76,CHAR(160),"")),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IF(L76="CLIENTE", O76, IF(LEFT(L76,4)="http", L76, "MACPONTA AGRO DE "&amp;L76)),
  _xlpm.paraBase, IF(M76="CLIENTE", P76, M76),
  _xlpm.paraTxt, IF(LEFT(_xlpm.paraBase,4)="http", _xlpm.paraBase, "MACPONTA AGRO DE "&amp;_xlpm.paraBase),
  _xlpm.nfParte, IF(LEN(TRIM(I76))=0, "", " -NF "&amp;TRIM(I76)),
  "- " &amp; _xlpm.tipotxt &amp; ": *" &amp; G76 &amp; "*" &amp; CHAR(13)&amp;CHAR(10) &amp;
  "- " &amp; _xlpm.dimtxt &amp; CHAR(13)&amp;CHAR(10) &amp;
  "- *Cliente*: " &amp; J76 &amp; _xlpm.nfParte &amp; CHAR(13)&amp;CHAR(10) &amp;
  "- *Obs:* " &amp; Q76 &amp; CHAR(13)&amp;CHAR(10) &amp; CHAR(10) &amp;
  "- *De*: " &amp; _xlpm.deTxt &amp; CHAR(13)&amp;CHAR(10) &amp;
  "- *Para*: " &amp; _xlpm.paraTxt &amp; CHAR(13)&amp;CHAR(10) &amp;
  "- *Ida e volta*: +/- " &amp; TEXT(((D76*1.5)/1440),"h:mm") &amp; "h | " &amp; D76 &amp; "km"
)</f>
        <v>- TRATOR: *1BM5080ELS4204066*_x000D_
- _x000D_
- *Cliente*: Conexão JD -NF279152  VOLTA_x000D_
- *Obs:* Conexão JD - Estática - Palmeira -Água Clara_x000D_
- *De*: MACPONTA AGRO DE PONTA GROSSA_x000D_
- *Para*: https://maps.app.goo.gl/tbQZRQV4a7fp35NM6_x000D_
- *Ida e volta*: +/- 3:45h | 150km</v>
      </c>
    </row>
    <row r="77" spans="1:21" ht="14.4" x14ac:dyDescent="0.3">
      <c r="A77" s="12" t="s">
        <v>305</v>
      </c>
      <c r="B77" s="10" t="s">
        <v>306</v>
      </c>
      <c r="C77" s="97">
        <f t="shared" si="10"/>
        <v>0.14791666666666667</v>
      </c>
      <c r="D77" s="10">
        <v>142</v>
      </c>
      <c r="E77" s="98">
        <f t="shared" si="9"/>
        <v>852</v>
      </c>
      <c r="F77" s="99"/>
      <c r="G77" s="10" t="s">
        <v>250</v>
      </c>
      <c r="H77" s="100">
        <v>45986</v>
      </c>
      <c r="I77" s="101"/>
      <c r="J77" s="10" t="s">
        <v>314</v>
      </c>
      <c r="K77" s="10" t="s">
        <v>301</v>
      </c>
      <c r="L77" s="10" t="s">
        <v>50</v>
      </c>
      <c r="M77" s="10" t="s">
        <v>109</v>
      </c>
      <c r="N77" s="12" t="s">
        <v>252</v>
      </c>
      <c r="O77" s="10" t="s">
        <v>111</v>
      </c>
      <c r="P77" s="137" t="s">
        <v>328</v>
      </c>
      <c r="Q77" s="10" t="s">
        <v>329</v>
      </c>
      <c r="R77" s="10" t="s">
        <v>50</v>
      </c>
      <c r="S77" s="10" t="s">
        <v>10</v>
      </c>
      <c r="T77" s="2" t="str">
        <f t="shared" si="8"/>
        <v>5080E</v>
      </c>
      <c r="U77" s="2" t="str" cm="1">
        <f t="array" ref="U77">_xlfn.LET(
  _xlpm.ch, TRIM(SUBSTITUTE(G77,CHAR(160),"")),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IF(L77="CLIENTE", O77, IF(LEFT(L77,4)="http", L77, "MACPONTA AGRO DE "&amp;L77)),
  _xlpm.paraBase, IF(M77="CLIENTE", P77, M77),
  _xlpm.paraTxt, IF(LEFT(_xlpm.paraBase,4)="http", _xlpm.paraBase, "MACPONTA AGRO DE "&amp;_xlpm.paraBase),
  _xlpm.nfParte, IF(LEN(TRIM(I77))=0, "", " -NF "&amp;TRIM(I77)),
  "- " &amp; _xlpm.tipotxt &amp; ": *" &amp; G77 &amp; "*" &amp; CHAR(13)&amp;CHAR(10) &amp;
  "- " &amp; _xlpm.dimtxt &amp; CHAR(13)&amp;CHAR(10) &amp;
  "- *Cliente*: " &amp; J77 &amp; _xlpm.nfParte &amp; CHAR(13)&amp;CHAR(10) &amp;
  "- *Obs:* " &amp; Q77 &amp; CHAR(13)&amp;CHAR(10) &amp; CHAR(10) &amp;
  "- *De*: " &amp; _xlpm.deTxt &amp; CHAR(13)&amp;CHAR(10) &amp;
  "- *Para*: " &amp; _xlpm.paraTxt &amp; CHAR(13)&amp;CHAR(10) &amp;
  "- *Ida e volta*: +/- " &amp; TEXT(((D77*1.5)/1440),"h:mm") &amp; "h | " &amp; D77 &amp; "km"
)</f>
        <v>- TRATOR: *1BM5080ETS6204305*_x000D_
- _x000D_
- *Cliente*: NÃO INFORMADO- NÃO TEM NF_x000D_
- *Obs:* Conexão JD - Piraí do Sul_x000D_
- *De*: MACPONTA AGRO DE CASTRO_x000D_
- *Para*: https://maps.app.goo.gl/kgJbu1HMjsUxtg7P7_x000D_
- *Ida e volta*: +/- 3:33h | 142km</v>
      </c>
    </row>
    <row r="78" spans="1:21" ht="14.4" x14ac:dyDescent="0.3">
      <c r="A78" s="12" t="s">
        <v>305</v>
      </c>
      <c r="B78" s="10" t="s">
        <v>306</v>
      </c>
      <c r="C78" s="97">
        <f t="shared" si="10"/>
        <v>0.14791666666666667</v>
      </c>
      <c r="D78" s="10">
        <v>142</v>
      </c>
      <c r="E78" s="98">
        <f t="shared" si="9"/>
        <v>852</v>
      </c>
      <c r="F78" s="99"/>
      <c r="G78" s="10" t="s">
        <v>255</v>
      </c>
      <c r="H78" s="100">
        <v>45986</v>
      </c>
      <c r="I78" s="101"/>
      <c r="J78" s="10" t="s">
        <v>314</v>
      </c>
      <c r="K78" s="10" t="s">
        <v>301</v>
      </c>
      <c r="L78" s="10" t="s">
        <v>50</v>
      </c>
      <c r="M78" s="10" t="s">
        <v>109</v>
      </c>
      <c r="N78" s="12" t="s">
        <v>252</v>
      </c>
      <c r="O78" s="10" t="s">
        <v>111</v>
      </c>
      <c r="P78" s="137" t="s">
        <v>328</v>
      </c>
      <c r="Q78" s="10" t="s">
        <v>329</v>
      </c>
      <c r="R78" s="10" t="s">
        <v>50</v>
      </c>
      <c r="S78" s="10" t="s">
        <v>10</v>
      </c>
      <c r="T78" s="2" t="str">
        <f t="shared" si="8"/>
        <v>5080E</v>
      </c>
      <c r="U78" s="2" t="str" cm="1">
        <f t="array" ref="U78">_xlfn.LET(
  _xlpm.ch, TRIM(SUBSTITUTE(G78,CHAR(160),"")),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IF(L78="CLIENTE", O78, IF(LEFT(L78,4)="http", L78, "MACPONTA AGRO DE "&amp;L78)),
  _xlpm.paraBase, IF(M78="CLIENTE", P78, M78),
  _xlpm.paraTxt, IF(LEFT(_xlpm.paraBase,4)="http", _xlpm.paraBase, "MACPONTA AGRO DE "&amp;_xlpm.paraBase),
  _xlpm.nfParte, IF(LEN(TRIM(I78))=0, "", " -NF "&amp;TRIM(I78)),
  "- " &amp; _xlpm.tipotxt &amp; ": *" &amp; G78 &amp; "*" &amp; CHAR(13)&amp;CHAR(10) &amp;
  "- " &amp; _xlpm.dimtxt &amp; CHAR(13)&amp;CHAR(10) &amp;
  "- *Cliente*: " &amp; J78 &amp; _xlpm.nfParte &amp; CHAR(13)&amp;CHAR(10) &amp;
  "- *Obs:* " &amp; Q78 &amp; CHAR(13)&amp;CHAR(10) &amp; CHAR(10) &amp;
  "- *De*: " &amp; _xlpm.deTxt &amp; CHAR(13)&amp;CHAR(10) &amp;
  "- *Para*: " &amp; _xlpm.paraTxt &amp; CHAR(13)&amp;CHAR(10) &amp;
  "- *Ida e volta*: +/- " &amp; TEXT(((D78*1.5)/1440),"h:mm") &amp; "h | " &amp; D78 &amp; "km"
)</f>
        <v>- TRATOR: *1BM5080EVS4204226*_x000D_
- _x000D_
- *Cliente*: NÃO INFORMADO- NÃO TEM NF_x000D_
- *Obs:* Conexão JD - Piraí do Sul_x000D_
- *De*: MACPONTA AGRO DE CASTRO_x000D_
- *Para*: https://maps.app.goo.gl/kgJbu1HMjsUxtg7P7_x000D_
- *Ida e volta*: +/- 3:33h | 142km</v>
      </c>
    </row>
    <row r="79" spans="1:21" ht="14.4" x14ac:dyDescent="0.3">
      <c r="A79" s="12" t="s">
        <v>305</v>
      </c>
      <c r="B79" s="10" t="s">
        <v>306</v>
      </c>
      <c r="C79" s="97">
        <f t="shared" si="10"/>
        <v>0.14791666666666667</v>
      </c>
      <c r="D79" s="10">
        <v>142</v>
      </c>
      <c r="E79" s="98">
        <v>200</v>
      </c>
      <c r="F79" s="99"/>
      <c r="G79" s="10" t="s">
        <v>330</v>
      </c>
      <c r="H79" s="100">
        <v>45986</v>
      </c>
      <c r="I79" s="101"/>
      <c r="J79" s="10" t="s">
        <v>314</v>
      </c>
      <c r="K79" s="10" t="s">
        <v>301</v>
      </c>
      <c r="L79" s="10" t="s">
        <v>50</v>
      </c>
      <c r="M79" s="10" t="s">
        <v>109</v>
      </c>
      <c r="N79" s="12" t="s">
        <v>252</v>
      </c>
      <c r="O79" s="10" t="s">
        <v>111</v>
      </c>
      <c r="P79" s="137" t="s">
        <v>328</v>
      </c>
      <c r="Q79" s="10" t="s">
        <v>329</v>
      </c>
      <c r="R79" s="10" t="s">
        <v>50</v>
      </c>
      <c r="S79" s="10" t="s">
        <v>8</v>
      </c>
      <c r="T79" s="2" t="str">
        <f t="shared" si="8"/>
        <v>FA25</v>
      </c>
      <c r="U79" s="2" t="str" cm="1">
        <f t="array" ref="U79">_xlfn.LET(
  _xlpm.ch, TRIM(SUBSTITUTE(G79,CHAR(160),"")),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TRIM(SUBSTITUTE(T79,CHAR(160),"")),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IF(L79="CLIENTE", O79, IF(LEFT(L79,4)="http", L79, "MACPONTA AGRO DE "&amp;L79)),
  _xlpm.paraBase, IF(M79="CLIENTE", P79, M79),
  _xlpm.paraTxt, IF(LEFT(_xlpm.paraBase,4)="http", _xlpm.paraBase, "MACPONTA AGRO DE "&amp;_xlpm.paraBase),
  _xlpm.nfParte, IF(LEN(TRIM(I79))=0, "", " -NF "&amp;TRIM(I79)),
  "- " &amp; _xlpm.tipotxt &amp; ": *" &amp; G79 &amp; "*" &amp; CHAR(13)&amp;CHAR(10) &amp;
  "- " &amp; _xlpm.dimtxt &amp; CHAR(13)&amp;CHAR(10) &amp;
  "- *Cliente*: " &amp; J79 &amp; _xlpm.nfParte &amp; CHAR(13)&amp;CHAR(10) &amp;
  "- *Obs:* " &amp; Q79 &amp; CHAR(13)&amp;CHAR(10) &amp; CHAR(10) &amp;
  "- *De*: " &amp; _xlpm.deTxt &amp; CHAR(13)&amp;CHAR(10) &amp;
  "- *Para*: " &amp; _xlpm.paraTxt &amp; CHAR(13)&amp;CHAR(10) &amp;
  "- *Ida e volta*: +/- " &amp; TEXT(((D79*1.5)/1440),"h:mm") &amp; "h | " &amp; D79 &amp; "km"
)</f>
        <v>- PLATAFORMA: *1CQFA25ALS0160148*_x000D_
- A:1,60 x C:7,60 x L:1,80-1,80 x P:2.100kg_x000D_
- *Cliente*: NÃO INFORMADO- NÃO TEM NF_x000D_
- *Obs:* Conexão JD - Piraí do Sul_x000D_
- *De*: MACPONTA AGRO DE CASTRO_x000D_
- *Para*: https://maps.app.goo.gl/kgJbu1HMjsUxtg7P7_x000D_
- *Ida e volta*: +/- 3:33h | 142km</v>
      </c>
    </row>
    <row r="80" spans="1:21" ht="14.4" x14ac:dyDescent="0.3">
      <c r="A80" s="12" t="s">
        <v>305</v>
      </c>
      <c r="B80" s="10" t="s">
        <v>306</v>
      </c>
      <c r="C80" s="97">
        <f t="shared" si="10"/>
        <v>0.14791666666666667</v>
      </c>
      <c r="D80" s="10">
        <v>142</v>
      </c>
      <c r="E80" s="98">
        <v>800</v>
      </c>
      <c r="F80" s="99"/>
      <c r="G80" s="10" t="s">
        <v>331</v>
      </c>
      <c r="H80" s="100">
        <v>45986</v>
      </c>
      <c r="I80" s="101"/>
      <c r="J80" s="10" t="s">
        <v>314</v>
      </c>
      <c r="K80" s="10" t="s">
        <v>301</v>
      </c>
      <c r="L80" s="10" t="s">
        <v>50</v>
      </c>
      <c r="M80" s="10" t="s">
        <v>109</v>
      </c>
      <c r="N80" s="12" t="s">
        <v>252</v>
      </c>
      <c r="O80" s="10" t="s">
        <v>111</v>
      </c>
      <c r="P80" s="137" t="s">
        <v>328</v>
      </c>
      <c r="Q80" s="10" t="s">
        <v>329</v>
      </c>
      <c r="R80" s="10" t="s">
        <v>50</v>
      </c>
      <c r="S80" s="10" t="s">
        <v>6</v>
      </c>
      <c r="T80" s="2" t="str">
        <f t="shared" si="8"/>
        <v>S440</v>
      </c>
      <c r="U80" s="2" t="str" cm="1">
        <f t="array" ref="U80">_xlfn.LET(
  _xlpm.ch, TRIM(SUBSTITUTE(G80,CHAR(160),"")),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IF(L80="CLIENTE", O80, IF(LEFT(L80,4)="http", L80, "MACPONTA AGRO DE "&amp;L80)),
  _xlpm.paraBase, IF(M80="CLIENTE", P80, M80),
  _xlpm.paraTxt, IF(LEFT(_xlpm.paraBase,4)="http", _xlpm.paraBase, "MACPONTA AGRO DE "&amp;_xlpm.paraBase),
  _xlpm.nfParte, IF(LEN(TRIM(I80))=0, "", " -NF "&amp;TRIM(I80)),
  "- " &amp; _xlpm.tipotxt &amp; ": *" &amp; G80 &amp; "*" &amp; CHAR(13)&amp;CHAR(10) &amp;
  "- " &amp; _xlpm.dimtxt &amp; CHAR(13)&amp;CHAR(10) &amp;
  "- *Cliente*: " &amp; J80 &amp; _xlpm.nfParte &amp; CHAR(13)&amp;CHAR(10) &amp;
  "- *Obs:* " &amp; Q80 &amp; CHAR(13)&amp;CHAR(10) &amp; CHAR(10) &amp;
  "- *De*: " &amp; _xlpm.deTxt &amp; CHAR(13)&amp;CHAR(10) &amp;
  "- *Para*: " &amp; _xlpm.paraTxt &amp; CHAR(13)&amp;CHAR(10) &amp;
  "- *Ida e volta*: +/- " &amp; TEXT(((D80*1.5)/1440),"h:mm") &amp; "h | " &amp; D80 &amp; "km"
)</f>
        <v>- COLHEITADEIRA: *1CQS440AVS0155148*_x000D_
- A:4,10 x C:7,70 x L:3,40-4,10 x P:11.800kg_x000D_
- *Cliente*: NÃO INFORMADO- NÃO TEM NF_x000D_
- *Obs:* Conexão JD - Piraí do Sul_x000D_
- *De*: MACPONTA AGRO DE CASTRO_x000D_
- *Para*: https://maps.app.goo.gl/kgJbu1HMjsUxtg7P7_x000D_
- *Ida e volta*: +/- 3:33h | 142km</v>
      </c>
    </row>
    <row r="81" spans="1:21" ht="14.4" x14ac:dyDescent="0.3">
      <c r="A81" s="12" t="s">
        <v>305</v>
      </c>
      <c r="B81" s="10" t="s">
        <v>306</v>
      </c>
      <c r="C81" s="97">
        <f t="shared" si="10"/>
        <v>0.29791666666666666</v>
      </c>
      <c r="D81" s="10">
        <v>286</v>
      </c>
      <c r="E81" s="98">
        <f>IFERROR((D81*6),"?")</f>
        <v>1716</v>
      </c>
      <c r="F81" s="99"/>
      <c r="G81" s="10" t="s">
        <v>250</v>
      </c>
      <c r="H81" s="100">
        <v>45987</v>
      </c>
      <c r="I81" s="101"/>
      <c r="J81" s="10" t="s">
        <v>314</v>
      </c>
      <c r="K81" s="10" t="s">
        <v>301</v>
      </c>
      <c r="L81" s="10" t="s">
        <v>52</v>
      </c>
      <c r="M81" s="10" t="s">
        <v>109</v>
      </c>
      <c r="N81" s="12" t="s">
        <v>252</v>
      </c>
      <c r="O81" s="10" t="s">
        <v>111</v>
      </c>
      <c r="P81" s="137" t="s">
        <v>332</v>
      </c>
      <c r="Q81" s="10" t="s">
        <v>333</v>
      </c>
      <c r="R81" s="10" t="s">
        <v>52</v>
      </c>
      <c r="S81" s="10" t="s">
        <v>10</v>
      </c>
      <c r="T81" s="2" t="str">
        <f t="shared" si="8"/>
        <v>5080E</v>
      </c>
      <c r="U81" s="2" t="str" cm="1">
        <f t="array" ref="U81">_xlfn.LET(
  _xlpm.ch, TRIM(SUBSTITUTE(G81,CHAR(160),"")),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TRIM(SUBSTITUTE(T81,CHAR(160),"")),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IF(L81="CLIENTE", O81, IF(LEFT(L81,4)="http", L81, "MACPONTA AGRO DE "&amp;L81)),
  _xlpm.paraBase, IF(M81="CLIENTE", P81, M81),
  _xlpm.paraTxt, IF(LEFT(_xlpm.paraBase,4)="http", _xlpm.paraBase, "MACPONTA AGRO DE "&amp;_xlpm.paraBase),
  _xlpm.nfParte, IF(LEN(TRIM(I81))=0, "", " -NF "&amp;TRIM(I81)),
  "- " &amp; _xlpm.tipotxt &amp; ": *" &amp; G81 &amp; "*" &amp; CHAR(13)&amp;CHAR(10) &amp;
  "- " &amp; _xlpm.dimtxt &amp; CHAR(13)&amp;CHAR(10) &amp;
  "- *Cliente*: " &amp; J81 &amp; _xlpm.nfParte &amp; CHAR(13)&amp;CHAR(10) &amp;
  "- *Obs:* " &amp; Q81 &amp; CHAR(13)&amp;CHAR(10) &amp; CHAR(10) &amp;
  "- *De*: " &amp; _xlpm.deTxt &amp; CHAR(13)&amp;CHAR(10) &amp;
  "- *Para*: " &amp; _xlpm.paraTxt &amp; CHAR(13)&amp;CHAR(10) &amp;
  "- *Ida e volta*: +/- " &amp; TEXT(((D81*1.5)/1440),"h:mm") &amp; "h | " &amp; D81 &amp; "km"
)</f>
        <v>- TRATOR: *1BM5080ETS6204305*_x000D_
- _x000D_
- *Cliente*: NÃO INFORMADO- NÃO TEM NF_x000D_
- *Obs:* Conexão JD + Jantar - Ortigueira -Sindicato Rural_x000D_
- *De*: MACPONTA AGRO DE TIBAGI_x000D_
- *Para*: https://maps.app.goo.gl/1TQNr4KwZ3aiboXJ6_x000D_
- *Ida e volta*: +/- 7:09h | 286km</v>
      </c>
    </row>
    <row r="82" spans="1:21" ht="14.4" x14ac:dyDescent="0.3">
      <c r="A82" s="12" t="s">
        <v>305</v>
      </c>
      <c r="B82" s="10" t="s">
        <v>306</v>
      </c>
      <c r="C82" s="97">
        <f t="shared" si="10"/>
        <v>0.29791666666666666</v>
      </c>
      <c r="D82" s="10">
        <v>286</v>
      </c>
      <c r="E82" s="98">
        <f>IFERROR((D82*6),"?")</f>
        <v>1716</v>
      </c>
      <c r="F82" s="99"/>
      <c r="G82" s="10" t="s">
        <v>255</v>
      </c>
      <c r="H82" s="100">
        <v>45987</v>
      </c>
      <c r="I82" s="101"/>
      <c r="J82" s="10" t="s">
        <v>314</v>
      </c>
      <c r="K82" s="10" t="s">
        <v>301</v>
      </c>
      <c r="L82" s="10" t="s">
        <v>52</v>
      </c>
      <c r="M82" s="10" t="s">
        <v>109</v>
      </c>
      <c r="N82" s="12" t="s">
        <v>252</v>
      </c>
      <c r="O82" s="10" t="s">
        <v>111</v>
      </c>
      <c r="P82" s="137" t="s">
        <v>332</v>
      </c>
      <c r="Q82" s="10" t="s">
        <v>333</v>
      </c>
      <c r="R82" s="10" t="s">
        <v>52</v>
      </c>
      <c r="S82" s="10" t="s">
        <v>10</v>
      </c>
      <c r="T82" s="2" t="str">
        <f t="shared" si="8"/>
        <v>5080E</v>
      </c>
      <c r="U82" s="2" t="str" cm="1">
        <f t="array" ref="U82">_xlfn.LET(
  _xlpm.ch, TRIM(SUBSTITUTE(G82,CHAR(160),"")),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TRIM(SUBSTITUTE(T82,CHAR(160),"")),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IF(L82="CLIENTE", O82, IF(LEFT(L82,4)="http", L82, "MACPONTA AGRO DE "&amp;L82)),
  _xlpm.paraBase, IF(M82="CLIENTE", P82, M82),
  _xlpm.paraTxt, IF(LEFT(_xlpm.paraBase,4)="http", _xlpm.paraBase, "MACPONTA AGRO DE "&amp;_xlpm.paraBase),
  _xlpm.nfParte, IF(LEN(TRIM(I82))=0, "", " -NF "&amp;TRIM(I82)),
  "- " &amp; _xlpm.tipotxt &amp; ": *" &amp; G82 &amp; "*" &amp; CHAR(13)&amp;CHAR(10) &amp;
  "- " &amp; _xlpm.dimtxt &amp; CHAR(13)&amp;CHAR(10) &amp;
  "- *Cliente*: " &amp; J82 &amp; _xlpm.nfParte &amp; CHAR(13)&amp;CHAR(10) &amp;
  "- *Obs:* " &amp; Q82 &amp; CHAR(13)&amp;CHAR(10) &amp; CHAR(10) &amp;
  "- *De*: " &amp; _xlpm.deTxt &amp; CHAR(13)&amp;CHAR(10) &amp;
  "- *Para*: " &amp; _xlpm.paraTxt &amp; CHAR(13)&amp;CHAR(10) &amp;
  "- *Ida e volta*: +/- " &amp; TEXT(((D82*1.5)/1440),"h:mm") &amp; "h | " &amp; D82 &amp; "km"
)</f>
        <v>- TRATOR: *1BM5080EVS4204226*_x000D_
- _x000D_
- *Cliente*: NÃO INFORMADO- NÃO TEM NF_x000D_
- *Obs:* Conexão JD + Jantar - Ortigueira -Sindicato Rural_x000D_
- *De*: MACPONTA AGRO DE TIBAGI_x000D_
- *Para*: https://maps.app.goo.gl/1TQNr4KwZ3aiboXJ6_x000D_
- *Ida e volta*: +/- 7:09h | 286km</v>
      </c>
    </row>
    <row r="83" spans="1:21" ht="14.4" x14ac:dyDescent="0.3">
      <c r="A83" s="12" t="s">
        <v>305</v>
      </c>
      <c r="B83" s="10" t="s">
        <v>306</v>
      </c>
      <c r="C83" s="97">
        <f t="shared" si="10"/>
        <v>0.29791666666666666</v>
      </c>
      <c r="D83" s="10">
        <v>286</v>
      </c>
      <c r="E83" s="98">
        <v>600</v>
      </c>
      <c r="F83" s="99"/>
      <c r="G83" s="10" t="s">
        <v>330</v>
      </c>
      <c r="H83" s="100">
        <v>45987</v>
      </c>
      <c r="I83" s="101"/>
      <c r="J83" s="10" t="s">
        <v>314</v>
      </c>
      <c r="K83" s="10" t="s">
        <v>301</v>
      </c>
      <c r="L83" s="10" t="s">
        <v>52</v>
      </c>
      <c r="M83" s="10" t="s">
        <v>109</v>
      </c>
      <c r="N83" s="12" t="s">
        <v>252</v>
      </c>
      <c r="O83" s="10" t="s">
        <v>111</v>
      </c>
      <c r="P83" s="137" t="s">
        <v>332</v>
      </c>
      <c r="Q83" s="10" t="s">
        <v>333</v>
      </c>
      <c r="R83" s="10" t="s">
        <v>52</v>
      </c>
      <c r="S83" s="10" t="s">
        <v>8</v>
      </c>
      <c r="T83" s="2" t="str">
        <f t="shared" si="8"/>
        <v>FA25</v>
      </c>
      <c r="U83" s="2" t="str" cm="1">
        <f t="array" ref="U83">_xlfn.LET(
  _xlpm.ch, TRIM(SUBSTITUTE(G83,CHAR(160),"")),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TRIM(SUBSTITUTE(T83,CHAR(160),"")),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IF(L83="CLIENTE", O83, IF(LEFT(L83,4)="http", L83, "MACPONTA AGRO DE "&amp;L83)),
  _xlpm.paraBase, IF(M83="CLIENTE", P83, M83),
  _xlpm.paraTxt, IF(LEFT(_xlpm.paraBase,4)="http", _xlpm.paraBase, "MACPONTA AGRO DE "&amp;_xlpm.paraBase),
  _xlpm.nfParte, IF(LEN(TRIM(I83))=0, "", " -NF "&amp;TRIM(I83)),
  "- " &amp; _xlpm.tipotxt &amp; ": *" &amp; G83 &amp; "*" &amp; CHAR(13)&amp;CHAR(10) &amp;
  "- " &amp; _xlpm.dimtxt &amp; CHAR(13)&amp;CHAR(10) &amp;
  "- *Cliente*: " &amp; J83 &amp; _xlpm.nfParte &amp; CHAR(13)&amp;CHAR(10) &amp;
  "- *Obs:* " &amp; Q83 &amp; CHAR(13)&amp;CHAR(10) &amp; CHAR(10) &amp;
  "- *De*: " &amp; _xlpm.deTxt &amp; CHAR(13)&amp;CHAR(10) &amp;
  "- *Para*: " &amp; _xlpm.paraTxt &amp; CHAR(13)&amp;CHAR(10) &amp;
  "- *Ida e volta*: +/- " &amp; TEXT(((D83*1.5)/1440),"h:mm") &amp; "h | " &amp; D83 &amp; "km"
)</f>
        <v>- PLATAFORMA: *1CQFA25ALS0160148*_x000D_
- A:1,60 x C:7,60 x L:1,80-1,80 x P:2.100kg_x000D_
- *Cliente*: NÃO INFORMADO- NÃO TEM NF_x000D_
- *Obs:* Conexão JD + Jantar - Ortigueira -Sindicato Rural_x000D_
- *De*: MACPONTA AGRO DE TIBAGI_x000D_
- *Para*: https://maps.app.goo.gl/1TQNr4KwZ3aiboXJ6_x000D_
- *Ida e volta*: +/- 7:09h | 286km</v>
      </c>
    </row>
    <row r="84" spans="1:21" ht="14.4" x14ac:dyDescent="0.3">
      <c r="A84" s="12" t="s">
        <v>305</v>
      </c>
      <c r="B84" s="10" t="s">
        <v>306</v>
      </c>
      <c r="C84" s="97">
        <f t="shared" si="10"/>
        <v>0.29791666666666666</v>
      </c>
      <c r="D84" s="10">
        <v>286</v>
      </c>
      <c r="E84" s="98">
        <v>1400</v>
      </c>
      <c r="F84" s="99"/>
      <c r="G84" s="10" t="s">
        <v>331</v>
      </c>
      <c r="H84" s="100">
        <v>45987</v>
      </c>
      <c r="I84" s="101"/>
      <c r="J84" s="10" t="s">
        <v>314</v>
      </c>
      <c r="K84" s="10" t="s">
        <v>301</v>
      </c>
      <c r="L84" s="10" t="s">
        <v>52</v>
      </c>
      <c r="M84" s="10" t="s">
        <v>109</v>
      </c>
      <c r="N84" s="12" t="s">
        <v>252</v>
      </c>
      <c r="O84" s="10" t="s">
        <v>111</v>
      </c>
      <c r="P84" s="137" t="s">
        <v>332</v>
      </c>
      <c r="Q84" s="10" t="s">
        <v>333</v>
      </c>
      <c r="R84" s="10" t="s">
        <v>52</v>
      </c>
      <c r="S84" s="10" t="s">
        <v>6</v>
      </c>
      <c r="T84" s="2" t="str">
        <f t="shared" si="8"/>
        <v>S440</v>
      </c>
      <c r="U84" s="2" t="str" cm="1">
        <f t="array" ref="U84">_xlfn.LET(
  _xlpm.ch, TRIM(SUBSTITUTE(G84,CHAR(160),"")),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TRIM(SUBSTITUTE(T84,CHAR(160),"")),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IF(L84="CLIENTE", O84, IF(LEFT(L84,4)="http", L84, "MACPONTA AGRO DE "&amp;L84)),
  _xlpm.paraBase, IF(M84="CLIENTE", P84, M84),
  _xlpm.paraTxt, IF(LEFT(_xlpm.paraBase,4)="http", _xlpm.paraBase, "MACPONTA AGRO DE "&amp;_xlpm.paraBase),
  _xlpm.nfParte, IF(LEN(TRIM(I84))=0, "", " -NF "&amp;TRIM(I84)),
  "- " &amp; _xlpm.tipotxt &amp; ": *" &amp; G84 &amp; "*" &amp; CHAR(13)&amp;CHAR(10) &amp;
  "- " &amp; _xlpm.dimtxt &amp; CHAR(13)&amp;CHAR(10) &amp;
  "- *Cliente*: " &amp; J84 &amp; _xlpm.nfParte &amp; CHAR(13)&amp;CHAR(10) &amp;
  "- *Obs:* " &amp; Q84 &amp; CHAR(13)&amp;CHAR(10) &amp; CHAR(10) &amp;
  "- *De*: " &amp; _xlpm.deTxt &amp; CHAR(13)&amp;CHAR(10) &amp;
  "- *Para*: " &amp; _xlpm.paraTxt &amp; CHAR(13)&amp;CHAR(10) &amp;
  "- *Ida e volta*: +/- " &amp; TEXT(((D84*1.5)/1440),"h:mm") &amp; "h | " &amp; D84 &amp; "km"
)</f>
        <v>- COLHEITADEIRA: *1CQS440AVS0155148*_x000D_
- A:4,10 x C:7,70 x L:3,40-4,10 x P:11.800kg_x000D_
- *Cliente*: NÃO INFORMADO- NÃO TEM NF_x000D_
- *Obs:* Conexão JD + Jantar - Ortigueira -Sindicato Rural_x000D_
- *De*: MACPONTA AGRO DE TIBAGI_x000D_
- *Para*: https://maps.app.goo.gl/1TQNr4KwZ3aiboXJ6_x000D_
- *Ida e volta*: +/- 7:09h | 286km</v>
      </c>
    </row>
    <row r="85" spans="1:21" ht="14.4" x14ac:dyDescent="0.3">
      <c r="A85" s="12" t="s">
        <v>334</v>
      </c>
      <c r="B85" s="10" t="s">
        <v>306</v>
      </c>
      <c r="C85" s="97">
        <f t="shared" si="10"/>
        <v>2.8125000000000001E-2</v>
      </c>
      <c r="D85" s="10">
        <v>27</v>
      </c>
      <c r="E85" s="98">
        <v>100</v>
      </c>
      <c r="F85" s="99"/>
      <c r="G85" s="10" t="s">
        <v>330</v>
      </c>
      <c r="H85" s="100">
        <v>45989</v>
      </c>
      <c r="I85" s="101"/>
      <c r="J85" s="10" t="s">
        <v>335</v>
      </c>
      <c r="K85" s="10" t="s">
        <v>301</v>
      </c>
      <c r="L85" s="10" t="s">
        <v>142</v>
      </c>
      <c r="M85" s="10" t="s">
        <v>109</v>
      </c>
      <c r="N85" s="12" t="s">
        <v>252</v>
      </c>
      <c r="O85" s="10" t="s">
        <v>111</v>
      </c>
      <c r="P85" s="137" t="s">
        <v>336</v>
      </c>
      <c r="Q85" s="10" t="s">
        <v>337</v>
      </c>
      <c r="R85" s="10" t="s">
        <v>142</v>
      </c>
      <c r="S85" s="10" t="s">
        <v>8</v>
      </c>
      <c r="T85" s="2" t="str">
        <f t="shared" si="8"/>
        <v>FA25</v>
      </c>
      <c r="U85" s="2" t="str" cm="1">
        <f t="array" ref="U85">_xlfn.LET(
  _xlpm.ch, TRIM(SUBSTITUTE(G85,CHAR(160),"")),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TRIM(SUBSTITUTE(T85,CHAR(160),"")),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IF(L85="CLIENTE", O85, IF(LEFT(L85,4)="http", L85, "MACPONTA AGRO DE "&amp;L85)),
  _xlpm.paraBase, IF(M85="CLIENTE", P85, M85),
  _xlpm.paraTxt, IF(LEFT(_xlpm.paraBase,4)="http", _xlpm.paraBase, "MACPONTA AGRO DE "&amp;_xlpm.paraBase),
  _xlpm.nfParte, IF(LEN(TRIM(I85))=0, "", " -NF "&amp;TRIM(I85)),
  "- " &amp; _xlpm.tipotxt &amp; ": *" &amp; G85 &amp; "*" &amp; CHAR(13)&amp;CHAR(10) &amp;
  "- " &amp; _xlpm.dimtxt &amp; CHAR(13)&amp;CHAR(10) &amp;
  "- *Cliente*: " &amp; J85 &amp; _xlpm.nfParte &amp; CHAR(13)&amp;CHAR(10) &amp;
  "- *Obs:* " &amp; Q85 &amp; CHAR(13)&amp;CHAR(10) &amp; CHAR(10) &amp;
  "- *De*: " &amp; _xlpm.deTxt &amp; CHAR(13)&amp;CHAR(10) &amp;
  "- *Para*: " &amp; _xlpm.paraTxt &amp; CHAR(13)&amp;CHAR(10) &amp;
  "- *Ida e volta*: +/- " &amp; TEXT(((D85*1.5)/1440),"h:mm") &amp; "h | " &amp; D85 &amp; "km"
)</f>
        <v>- PLATAFORMA: *1CQFA25ALS0160148*_x000D_
- A:1,60 x C:7,60 x L:1,80-1,80 x P:2.100kg_x000D_
- *Cliente*: SITIO SÃO JOÃO -NF279149_x000D_
- *Obs:* Demonstração + Dia de Campo - Ponta Grossa_x000D_
- *De*: MACPONTA AGRO DE PONTA GROSSA_x000D_
- *Para*: https://maps.app.goo.gl/Pdqbe6rfdzAyjWvL8_x000D_
- *Ida e volta*: +/- 0:40h | 27km</v>
      </c>
    </row>
    <row r="86" spans="1:21" ht="14.4" x14ac:dyDescent="0.3">
      <c r="A86" s="12" t="s">
        <v>334</v>
      </c>
      <c r="B86" s="10" t="s">
        <v>306</v>
      </c>
      <c r="C86" s="97">
        <f t="shared" si="10"/>
        <v>2.8125000000000001E-2</v>
      </c>
      <c r="D86" s="10">
        <v>27</v>
      </c>
      <c r="E86" s="98">
        <v>200</v>
      </c>
      <c r="F86" s="99"/>
      <c r="G86" s="10" t="s">
        <v>331</v>
      </c>
      <c r="H86" s="100">
        <v>45989</v>
      </c>
      <c r="I86" s="101"/>
      <c r="J86" s="10" t="s">
        <v>335</v>
      </c>
      <c r="K86" s="10" t="s">
        <v>301</v>
      </c>
      <c r="L86" s="10" t="s">
        <v>142</v>
      </c>
      <c r="M86" s="10" t="s">
        <v>109</v>
      </c>
      <c r="N86" s="12" t="s">
        <v>252</v>
      </c>
      <c r="O86" s="10" t="s">
        <v>111</v>
      </c>
      <c r="P86" s="137" t="s">
        <v>336</v>
      </c>
      <c r="Q86" s="10" t="s">
        <v>337</v>
      </c>
      <c r="R86" s="10" t="s">
        <v>142</v>
      </c>
      <c r="S86" s="10" t="s">
        <v>6</v>
      </c>
      <c r="T86" s="2" t="str">
        <f t="shared" si="8"/>
        <v>S440</v>
      </c>
      <c r="U86" s="2" t="str" cm="1">
        <f t="array" ref="U86">_xlfn.LET(
  _xlpm.ch, TRIM(SUBSTITUTE(G86,CHAR(160),"")),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TRIM(SUBSTITUTE(T86,CHAR(160),"")),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IF(L86="CLIENTE", O86, IF(LEFT(L86,4)="http", L86, "MACPONTA AGRO DE "&amp;L86)),
  _xlpm.paraBase, IF(M86="CLIENTE", P86, M86),
  _xlpm.paraTxt, IF(LEFT(_xlpm.paraBase,4)="http", _xlpm.paraBase, "MACPONTA AGRO DE "&amp;_xlpm.paraBase),
  _xlpm.nfParte, IF(LEN(TRIM(I86))=0, "", " -NF "&amp;TRIM(I86)),
  "- " &amp; _xlpm.tipotxt &amp; ": *" &amp; G86 &amp; "*" &amp; CHAR(13)&amp;CHAR(10) &amp;
  "- " &amp; _xlpm.dimtxt &amp; CHAR(13)&amp;CHAR(10) &amp;
  "- *Cliente*: " &amp; J86 &amp; _xlpm.nfParte &amp; CHAR(13)&amp;CHAR(10) &amp;
  "- *Obs:* " &amp; Q86 &amp; CHAR(13)&amp;CHAR(10) &amp; CHAR(10) &amp;
  "- *De*: " &amp; _xlpm.deTxt &amp; CHAR(13)&amp;CHAR(10) &amp;
  "- *Para*: " &amp; _xlpm.paraTxt &amp; CHAR(13)&amp;CHAR(10) &amp;
  "- *Ida e volta*: +/- " &amp; TEXT(((D86*1.5)/1440),"h:mm") &amp; "h | " &amp; D86 &amp; "km"
)</f>
        <v>- COLHEITADEIRA: *1CQS440AVS0155148*_x000D_
- A:4,10 x C:7,70 x L:3,40-4,10 x P:11.800kg_x000D_
- *Cliente*: SITIO SÃO JOÃO -NF279149_x000D_
- *Obs:* Demonstração + Dia de Campo - Ponta Grossa_x000D_
- *De*: MACPONTA AGRO DE PONTA GROSSA_x000D_
- *Para*: https://maps.app.goo.gl/Pdqbe6rfdzAyjWvL8_x000D_
- *Ida e volta*: +/- 0:40h | 27km</v>
      </c>
    </row>
    <row r="87" spans="1:21" ht="15" customHeight="1" x14ac:dyDescent="0.3">
      <c r="A87" s="12" t="s">
        <v>334</v>
      </c>
      <c r="B87" s="10" t="s">
        <v>306</v>
      </c>
      <c r="C87" s="97">
        <f t="shared" si="10"/>
        <v>0.10729166666666666</v>
      </c>
      <c r="D87" s="10">
        <v>103</v>
      </c>
      <c r="E87" s="98">
        <f>IFERROR((D87*6),"?")</f>
        <v>618</v>
      </c>
      <c r="F87" s="99"/>
      <c r="G87" s="10" t="s">
        <v>338</v>
      </c>
      <c r="H87" s="100">
        <v>45989</v>
      </c>
      <c r="I87" s="101"/>
      <c r="J87" s="10" t="s">
        <v>339</v>
      </c>
      <c r="K87" s="10" t="s">
        <v>147</v>
      </c>
      <c r="L87" s="10" t="s">
        <v>142</v>
      </c>
      <c r="M87" s="10" t="s">
        <v>109</v>
      </c>
      <c r="N87" s="12" t="s">
        <v>110</v>
      </c>
      <c r="O87" s="10" t="s">
        <v>111</v>
      </c>
      <c r="P87" s="138" t="s">
        <v>340</v>
      </c>
      <c r="Q87" s="10" t="s">
        <v>341</v>
      </c>
      <c r="R87" s="10" t="s">
        <v>142</v>
      </c>
      <c r="S87" s="10" t="s">
        <v>10</v>
      </c>
      <c r="T87" s="2" t="str">
        <f t="shared" ref="T87:T90" si="11">IF(
  OR(
    IFERROR(FIND("BM",G87),0)&gt;0,
    IFERROR(FIND("PY",G87),0)&gt;0
  ),
  MID(TRIM(SUBSTITUTE(SUBSTITUTE(G87,CHAR(160),""),CHAR(9),"")),4,5),
  MID(TRIM(SUBSTITUTE(SUBSTITUTE(G87,CHAR(160),""),CHAR(9),"")),4,4)
)</f>
        <v>5080E</v>
      </c>
      <c r="U87" s="2" t="str" cm="1">
        <f t="array" ref="U87">_xlfn.LET(
  _xlpm.ch, TRIM(SUBSTITUTE(G87,CHAR(160),"")),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TRIM(SUBSTITUTE(T87,CHAR(160),"")),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IF(L87="CLIENTE", O87, IF(LEFT(L87,4)="http", L87, "MACPONTA AGRO DE "&amp;L87)),
  _xlpm.paraBase, IF(M87="CLIENTE", P87, M87),
  _xlpm.paraTxt, IF(LEFT(_xlpm.paraBase,4)="http", _xlpm.paraBase, "MACPONTA AGRO DE "&amp;_xlpm.paraBase),
  _xlpm.nfParte, IF(LEN(TRIM(I87))=0, "", " -NF "&amp;TRIM(I87)),
  "- " &amp; _xlpm.tipotxt &amp; ": *" &amp; G87 &amp; "*" &amp; CHAR(13)&amp;CHAR(10) &amp;
  "- " &amp; _xlpm.dimtxt &amp; CHAR(13)&amp;CHAR(10) &amp;
  "- *Cliente*: " &amp; J87 &amp; _xlpm.nfParte &amp; CHAR(13)&amp;CHAR(10) &amp;
  "- *Obs:* " &amp; Q87 &amp; CHAR(13)&amp;CHAR(10) &amp; CHAR(10) &amp;
  "- *De*: " &amp; _xlpm.deTxt &amp; CHAR(13)&amp;CHAR(10) &amp;
  "- *Para*: " &amp; _xlpm.paraTxt &amp; CHAR(13)&amp;CHAR(10) &amp;
  "- *Ida e volta*: +/- " &amp; TEXT(((D87*1.5)/1440),"h:mm") &amp; "h | " &amp; D87 &amp; "km"
)</f>
        <v>- TRATOR: *1BM5080EVS6204327*_x000D_
- _x000D_
- *Cliente*: MARIA BORKOSKI -NF278379_x000D_
- *Obs:* GERALDO - GABRIEL - AVISAR CLEBER PARA ACOMPANHAR_x000D_
- *De*: MACPONTA AGRO DE PONTA GROSSA_x000D_
- *Para*: https://maps.app.goo.gl/pz4jP4cRzqhcm3mP6_x000D_
- *Ida e volta*: +/- 2:34h | 103km</v>
      </c>
    </row>
    <row r="88" spans="1:21" ht="15" customHeight="1" x14ac:dyDescent="0.3">
      <c r="A88" s="12" t="s">
        <v>334</v>
      </c>
      <c r="B88" s="10" t="s">
        <v>306</v>
      </c>
      <c r="C88" s="97">
        <f t="shared" si="10"/>
        <v>0.10729166666666666</v>
      </c>
      <c r="D88" s="10">
        <v>103</v>
      </c>
      <c r="E88" s="98">
        <f>IFERROR((D88*6),"?")</f>
        <v>618</v>
      </c>
      <c r="F88" s="99"/>
      <c r="G88" s="10" t="s">
        <v>342</v>
      </c>
      <c r="H88" s="100">
        <v>45989</v>
      </c>
      <c r="I88" s="101"/>
      <c r="J88" s="10" t="s">
        <v>343</v>
      </c>
      <c r="K88" s="10" t="s">
        <v>147</v>
      </c>
      <c r="L88" s="10" t="s">
        <v>142</v>
      </c>
      <c r="M88" s="10" t="s">
        <v>109</v>
      </c>
      <c r="N88" s="12" t="s">
        <v>110</v>
      </c>
      <c r="O88" s="10" t="s">
        <v>111</v>
      </c>
      <c r="P88" s="138" t="s">
        <v>340</v>
      </c>
      <c r="Q88" s="10" t="s">
        <v>341</v>
      </c>
      <c r="R88" s="10" t="s">
        <v>142</v>
      </c>
      <c r="S88" s="10" t="s">
        <v>10</v>
      </c>
      <c r="T88" s="2" t="str">
        <f t="shared" si="11"/>
        <v>5080E</v>
      </c>
      <c r="U88" s="2" t="str" cm="1">
        <f t="array" ref="U88">_xlfn.LET(
  _xlpm.ch, TRIM(SUBSTITUTE(G88,CHAR(160),"")),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TRIM(SUBSTITUTE(T88,CHAR(160),"")),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IF(L88="CLIENTE", O88, IF(LEFT(L88,4)="http", L88, "MACPONTA AGRO DE "&amp;L88)),
  _xlpm.paraBase, IF(M88="CLIENTE", P88, M88),
  _xlpm.paraTxt, IF(LEFT(_xlpm.paraBase,4)="http", _xlpm.paraBase, "MACPONTA AGRO DE "&amp;_xlpm.paraBase),
  _xlpm.nfParte, IF(LEN(TRIM(I88))=0, "", " -NF "&amp;TRIM(I88)),
  "- " &amp; _xlpm.tipotxt &amp; ": *" &amp; G88 &amp; "*" &amp; CHAR(13)&amp;CHAR(10) &amp;
  "- " &amp; _xlpm.dimtxt &amp; CHAR(13)&amp;CHAR(10) &amp;
  "- *Cliente*: " &amp; J88 &amp; _xlpm.nfParte &amp; CHAR(13)&amp;CHAR(10) &amp;
  "- *Obs:* " &amp; Q88 &amp; CHAR(13)&amp;CHAR(10) &amp; CHAR(10) &amp;
  "- *De*: " &amp; _xlpm.deTxt &amp; CHAR(13)&amp;CHAR(10) &amp;
  "- *Para*: " &amp; _xlpm.paraTxt &amp; CHAR(13)&amp;CHAR(10) &amp;
  "- *Ida e volta*: +/- " &amp; TEXT(((D88*1.5)/1440),"h:mm") &amp; "h | " &amp; D88 &amp; "km"
)</f>
        <v>- TRATOR: *1BM5080EVS6204375*_x000D_
- _x000D_
- *Cliente*: CARLA BORKOSKI -NF278340_x000D_
- *Obs:* GERALDO - GABRIEL - AVISAR CLEBER PARA ACOMPANHAR_x000D_
- *De*: MACPONTA AGRO DE PONTA GROSSA_x000D_
- *Para*: https://maps.app.goo.gl/pz4jP4cRzqhcm3mP6_x000D_
- *Ida e volta*: +/- 2:34h | 103km</v>
      </c>
    </row>
    <row r="89" spans="1:21" ht="15" customHeight="1" x14ac:dyDescent="0.3">
      <c r="A89" s="12" t="s">
        <v>334</v>
      </c>
      <c r="B89" s="10" t="s">
        <v>306</v>
      </c>
      <c r="C89" s="97">
        <f t="shared" si="10"/>
        <v>0.14583333333333334</v>
      </c>
      <c r="D89" s="10">
        <v>140</v>
      </c>
      <c r="E89" s="98">
        <v>200</v>
      </c>
      <c r="F89" s="99"/>
      <c r="G89" s="10" t="s">
        <v>344</v>
      </c>
      <c r="H89" s="100">
        <v>45989</v>
      </c>
      <c r="I89" s="101"/>
      <c r="J89" s="10" t="s">
        <v>345</v>
      </c>
      <c r="K89" s="10" t="s">
        <v>147</v>
      </c>
      <c r="L89" s="10" t="s">
        <v>142</v>
      </c>
      <c r="M89" s="10" t="s">
        <v>109</v>
      </c>
      <c r="N89" s="12" t="s">
        <v>110</v>
      </c>
      <c r="O89" s="10" t="s">
        <v>111</v>
      </c>
      <c r="P89" s="138" t="s">
        <v>346</v>
      </c>
      <c r="Q89" s="10" t="s">
        <v>347</v>
      </c>
      <c r="R89" s="10" t="s">
        <v>142</v>
      </c>
      <c r="S89" s="10" t="s">
        <v>8</v>
      </c>
      <c r="T89" s="2" t="str">
        <f t="shared" si="11"/>
        <v>FA25</v>
      </c>
      <c r="U89" s="2" t="str" cm="1">
        <f t="array" ref="U89">_xlfn.LET(
  _xlpm.ch, TRIM(SUBSTITUTE(G89,CHAR(160),"")),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TRIM(SUBSTITUTE(T89,CHAR(160),"")),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IF(L89="CLIENTE", O89, IF(LEFT(L89,4)="http", L89, "MACPONTA AGRO DE "&amp;L89)),
  _xlpm.paraBase, IF(M89="CLIENTE", P89, M89),
  _xlpm.paraTxt, IF(LEFT(_xlpm.paraBase,4)="http", _xlpm.paraBase, "MACPONTA AGRO DE "&amp;_xlpm.paraBase),
  _xlpm.nfParte, IF(LEN(TRIM(I89))=0, "", " -NF "&amp;TRIM(I89)),
  "- " &amp; _xlpm.tipotxt &amp; ": *" &amp; G89 &amp; "*" &amp; CHAR(13)&amp;CHAR(10) &amp;
  "- " &amp; _xlpm.dimtxt &amp; CHAR(13)&amp;CHAR(10) &amp;
  "- *Cliente*: " &amp; J89 &amp; _xlpm.nfParte &amp; CHAR(13)&amp;CHAR(10) &amp;
  "- *Obs:* " &amp; Q89 &amp; CHAR(13)&amp;CHAR(10) &amp; CHAR(10) &amp;
  "- *De*: " &amp; _xlpm.deTxt &amp; CHAR(13)&amp;CHAR(10) &amp;
  "- *Para*: " &amp; _xlpm.paraTxt &amp; CHAR(13)&amp;CHAR(10) &amp;
  "- *Ida e volta*: +/- " &amp; TEXT(((D89*1.5)/1440),"h:mm") &amp; "h | " &amp; D89 &amp; "km"
)</f>
        <v>- PLATAFORMA: *1CQFA25AES0160153*_x000D_
- A:1,60 x C:7,60 x L:1,80-1,80 x P:2.100kg_x000D_
- *Cliente*: MARCELO RIBEIRO DE NARDI -NF_x000D_
- *Obs:* DANILO - AVISAR ROITEMAN PARA ACOMPANHAR_x000D_
- *De*: MACPONTA AGRO DE PONTA GROSSA_x000D_
- *Para*: https://maps.app.goo.gl/a7As7SRaDnZSRB6c6_x000D_
- *Ida e volta*: +/- 3:30h | 140km</v>
      </c>
    </row>
    <row r="90" spans="1:21" ht="15" customHeight="1" x14ac:dyDescent="0.3">
      <c r="A90" s="12" t="s">
        <v>334</v>
      </c>
      <c r="B90" s="10" t="s">
        <v>306</v>
      </c>
      <c r="C90" s="97">
        <f t="shared" si="10"/>
        <v>0.14583333333333334</v>
      </c>
      <c r="D90" s="10">
        <v>140</v>
      </c>
      <c r="E90" s="98">
        <v>800</v>
      </c>
      <c r="F90" s="99"/>
      <c r="G90" s="10" t="s">
        <v>348</v>
      </c>
      <c r="H90" s="100">
        <v>45989</v>
      </c>
      <c r="I90" s="101"/>
      <c r="J90" s="10" t="s">
        <v>345</v>
      </c>
      <c r="K90" s="10" t="s">
        <v>147</v>
      </c>
      <c r="L90" s="10" t="s">
        <v>142</v>
      </c>
      <c r="M90" s="10" t="s">
        <v>109</v>
      </c>
      <c r="N90" s="12" t="s">
        <v>110</v>
      </c>
      <c r="O90" s="10" t="s">
        <v>111</v>
      </c>
      <c r="P90" s="138" t="s">
        <v>346</v>
      </c>
      <c r="Q90" s="10" t="s">
        <v>347</v>
      </c>
      <c r="R90" s="10" t="s">
        <v>142</v>
      </c>
      <c r="S90" s="10" t="s">
        <v>6</v>
      </c>
      <c r="T90" s="2" t="str">
        <f t="shared" si="11"/>
        <v>S440</v>
      </c>
      <c r="U90" s="2" t="str" cm="1">
        <f t="array" ref="U90">_xlfn.LET(
  _xlpm.ch, TRIM(SUBSTITUTE(G90,CHAR(160),"")),
  _xlpm.ehTrator, OR(IFERROR(FIND("BM",_xlpm.ch),0)&gt;0, IFERROR(FIND("PY",_xlpm.ch),0)&gt;0),
  _xlpm.chave, IF(_xlpm.ehTrator, MID(_xlpm.ch,4,5), MID(_xlpm.ch,4,4)),
  _xlpm.fonte, IF(LEN(_xlpm.chave)=5, UTIL!BS:BS, UTIL!BR:BR),
  _xlpm.modelo, TRIM(SUBSTITUTE(T90,CHAR(160),"")),
  _xlpm.nomeMod, IFERROR(_xlfn.XLOOKUP("*"&amp;_xlpm.modelo&amp;"*", UTIL!D:D, UTIL!B:B, "", 2), IFERROR(_xlfn.XLOOKUP("*"&amp;_xlpm.modelo&amp;"*", UTIL!E:E, UTIL!B:B, "", 2), "")),
  _xlpm.tipoMod, IF(_xlpm.nomeMod="", "", IFERROR(LEFT(_xlpm.nomeMod, FIND(" ", _xlpm.nomeMod)-1), _xlpm.nomeMod)),
  _xlpm.dimMod,  IFERROR(_xlfn.XLOOKUP("*"&amp;_xlpm.modelo&amp;"*", UTIL!D:D, UTIL!K:K, "", 2), IFERROR(_xlfn.XLOOKUP("*"&amp;_xlpm.modelo&amp;"*", UTIL!E:E, UTIL!K:K, "", 2), "")),
  _xlpm.tipotxt_antigo, IF(_xlpm.ehTrator, "TRATOR",
                 IFERROR(_xlfn.XLOOKUP(_xlpm.chave, _xlpm.fonte, UTIL!BP:BP, "", 0),
                 IFERROR(_xlfn.XLOOKUP("*"&amp;_xlpm.chave&amp;"*", _xlpm.fonte, UTIL!BP:BP, "", 2), "Não encontrado"))),
  _xlpm.dimtxt_antigo, IFERROR(_xlfn.XLOOKUP(_xlpm.chave, _xlpm.fonte, UTIL!BY:BY, "", 0),
                 IFERROR(_xlfn.XLOOKUP("*"&amp;_xlpm.chave&amp;"*", _xlpm.fonte, UTIL!BY:BY, "", 2), "Não encontrado")),
  _xlpm.tipotxt, IF(_xlpm.tipoMod&lt;&gt;"", _xlpm.tipoMod, _xlpm.tipotxt_antigo),
  _xlpm.dimtxt,  IF(_xlpm.dimMod&lt;&gt;"", _xlpm.dimMod, _xlpm.dimtxt_antigo),
  _xlpm.deTxt, IF(L90="CLIENTE", O90, IF(LEFT(L90,4)="http", L90, "MACPONTA AGRO DE "&amp;L90)),
  _xlpm.paraBase, IF(M90="CLIENTE", P90, M90),
  _xlpm.paraTxt, IF(LEFT(_xlpm.paraBase,4)="http", _xlpm.paraBase, "MACPONTA AGRO DE "&amp;_xlpm.paraBase),
  _xlpm.nfParte, IF(LEN(TRIM(I90))=0, "", " -NF "&amp;TRIM(I90)),
  "- " &amp; _xlpm.tipotxt &amp; ": *" &amp; G90 &amp; "*" &amp; CHAR(13)&amp;CHAR(10) &amp;
  "- " &amp; _xlpm.dimtxt &amp; CHAR(13)&amp;CHAR(10) &amp;
  "- *Cliente*: " &amp; J90 &amp; _xlpm.nfParte &amp; CHAR(13)&amp;CHAR(10) &amp;
  "- *Obs:* " &amp; Q90 &amp; CHAR(13)&amp;CHAR(10) &amp; CHAR(10) &amp;
  "- *De*: " &amp; _xlpm.deTxt &amp; CHAR(13)&amp;CHAR(10) &amp;
  "- *Para*: " &amp; _xlpm.paraTxt &amp; CHAR(13)&amp;CHAR(10) &amp;
  "- *Ida e volta*: +/- " &amp; TEXT(((D90*1.5)/1440),"h:mm") &amp; "h | " &amp; D90 &amp; "km"
)</f>
        <v>- COLHEITADEIRA: *1CQS440AES0155172*_x000D_
- A:4,10 x C:7,70 x L:3,40-4,10 x P:11.800kg_x000D_
- *Cliente*: MARCELO RIBEIRO DE NARDI -NF_x000D_
- *Obs:* DANILO - AVISAR ROITEMAN PARA ACOMPANHAR_x000D_
- *De*: MACPONTA AGRO DE PONTA GROSSA_x000D_
- *Para*: https://maps.app.goo.gl/a7As7SRaDnZSRB6c6_x000D_
- *Ida e volta*: +/- 3:30h | 140km</v>
      </c>
    </row>
  </sheetData>
  <conditionalFormatting sqref="A2:S999">
    <cfRule type="expression" dxfId="65" priority="1">
      <formula>$A2="EM ROTA (D)"</formula>
    </cfRule>
    <cfRule type="expression" dxfId="64" priority="2">
      <formula>$A2="CONCLUIDO"</formula>
    </cfRule>
    <cfRule type="expression" dxfId="63" priority="3">
      <formula>MID(TRIM($A2), LEN(TRIM($A2))-2, 3)="(D)"</formula>
    </cfRule>
    <cfRule type="expression" dxfId="62" priority="4">
      <formula>AND(INT($H2)=TODAY()+1, COUNTIF($A2:$A2,"CONCLUIDO*")+COUNTIF($A2:$A2,"CONCLUÍDO*")=0)</formula>
    </cfRule>
    <cfRule type="expression" dxfId="61" priority="5">
      <formula>AND(INT($H2)=TODAY(), COUNTIF($A2:$A2,"CONCLUIDO*")+COUNTIF($A2:$A2,"CONCLUÍDO*")=0)</formula>
    </cfRule>
    <cfRule type="expression" dxfId="60" priority="6">
      <formula>$A2="RECEBIDO"</formula>
    </cfRule>
    <cfRule type="expression" dxfId="59" priority="7">
      <formula>$A2="EM ROTA"</formula>
    </cfRule>
    <cfRule type="expression" dxfId="58" priority="8">
      <formula>$A2="RECEBIDO (D)"</formula>
    </cfRule>
    <cfRule type="expression" dxfId="57" priority="10">
      <formula>$A2="SUSPENSO"</formula>
    </cfRule>
    <cfRule type="expression" dxfId="56" priority="11">
      <formula>$A2="PROGRAMADO (D)"</formula>
    </cfRule>
    <cfRule type="expression" dxfId="55" priority="12">
      <formula>$A2="PROGRAMADO"</formula>
    </cfRule>
    <cfRule type="expression" dxfId="54" priority="13">
      <formula>$A2="CONCLUIDO (D)"</formula>
    </cfRule>
    <cfRule type="expression" dxfId="53" priority="14">
      <formula>$A2="CONCLUIDO"</formula>
    </cfRule>
  </conditionalFormatting>
  <dataValidations count="1">
    <dataValidation type="list" allowBlank="1" showInputMessage="1" showErrorMessage="1" sqref="A1:A1048576" xr:uid="{4D5187C4-678B-4AE4-9889-EBDC0C33B882}">
      <formula1>"RECEBIDO, PROGRAMADO, EM ROTA, CONCLUIDO, SUSPENSO, RECEBIDO (D), PROGRAMADO (D), EM ROTA (D), CONCLUIDO (D)"</formula1>
    </dataValidation>
  </dataValidations>
  <hyperlinks>
    <hyperlink ref="P28" r:id="rId1" xr:uid="{75EA1572-4E70-4368-9024-D36A5031CF77}"/>
    <hyperlink ref="P27" r:id="rId2" xr:uid="{435849A8-839C-43A0-9267-3B1454FD6773}"/>
    <hyperlink ref="P20" r:id="rId3" xr:uid="{A6333FCA-E19F-43A3-950F-A308342CB5DD}"/>
    <hyperlink ref="O32" r:id="rId4" xr:uid="{C0918EF2-2671-4F78-B591-20D1DC456C4E}"/>
    <hyperlink ref="P33" r:id="rId5" xr:uid="{D5B5386C-AFCF-405F-B3F3-459AA642F2A9}"/>
    <hyperlink ref="P18" r:id="rId6" xr:uid="{31CD4452-56FC-4F33-99C1-021BEE35F71F}"/>
    <hyperlink ref="O4" r:id="rId7" xr:uid="{4A47B6B5-05B6-4FD2-8E18-430E1F960A69}"/>
    <hyperlink ref="P3" r:id="rId8" xr:uid="{2A6D3CC1-EA49-4F77-A043-5FC210C3BD02}"/>
    <hyperlink ref="P2" r:id="rId9" xr:uid="{C1AEFEB4-9C29-429C-8EEC-AAFC0B6CDFBB}"/>
    <hyperlink ref="P26" r:id="rId10" xr:uid="{5B4D843B-82B6-4F9B-8F0A-834801B5E06F}"/>
    <hyperlink ref="P7" r:id="rId11" xr:uid="{D68746AF-56C7-464A-9E01-B0AAC1599751}"/>
    <hyperlink ref="P6" r:id="rId12" xr:uid="{ADE12B44-2900-4C30-B47E-F03F78CA75BC}"/>
    <hyperlink ref="P15" r:id="rId13" xr:uid="{07D0604E-38E9-4ABE-96F7-184A04908147}"/>
    <hyperlink ref="O11" r:id="rId14" xr:uid="{F9A9E001-FEF5-40F0-8838-3469A37D429E}"/>
    <hyperlink ref="O31" r:id="rId15" xr:uid="{06E51068-1537-48EF-B6D2-AD368A045A4F}"/>
    <hyperlink ref="P9" r:id="rId16" xr:uid="{A0D7B831-1C98-4BAC-9B96-2E3DDA12CAD6}"/>
    <hyperlink ref="O38" r:id="rId17" xr:uid="{58E18D77-BC8C-4AAA-8C5B-D8D816C5597D}"/>
    <hyperlink ref="O56" r:id="rId18" xr:uid="{49E32A6B-1D53-44FA-A63E-AE7ED51C6BB4}"/>
    <hyperlink ref="O55" r:id="rId19" xr:uid="{A563442D-4636-4B28-AF55-E73353D5A8FF}"/>
    <hyperlink ref="P47" r:id="rId20" xr:uid="{DDBBA29C-7E12-4A7F-B1BD-729F97F36EC0}"/>
    <hyperlink ref="P37" r:id="rId21" xr:uid="{69A0E6A3-CB05-4831-88C8-C264BA5A02A4}"/>
    <hyperlink ref="P36" r:id="rId22" xr:uid="{EA0E728B-082A-4496-941D-57DBFD0CF285}"/>
    <hyperlink ref="P39" r:id="rId23" xr:uid="{4C03A0CE-188D-4B68-9A99-91D9CEAF9E18}"/>
    <hyperlink ref="P43" r:id="rId24" xr:uid="{13EDB386-4E0E-4D1A-BCA6-19F27986D489}"/>
    <hyperlink ref="P42" r:id="rId25" xr:uid="{34B9268E-7F86-4722-B0B6-B35B9B9B3993}"/>
    <hyperlink ref="P40" r:id="rId26" xr:uid="{3FE4D758-9688-4B06-AA49-8C53988C80C6}"/>
    <hyperlink ref="P41" r:id="rId27" xr:uid="{016F82C3-CFE1-44B2-98E2-0C724A7F1702}"/>
    <hyperlink ref="P52" r:id="rId28" xr:uid="{9C1805EF-7356-427A-9CA4-1FF7694899C4}"/>
    <hyperlink ref="P51" r:id="rId29" xr:uid="{9FC39184-978C-43D1-A98E-8E82D9F098F0}"/>
    <hyperlink ref="P54" r:id="rId30" xr:uid="{70D4D829-DA8C-40E6-BD6E-B7282DF4A657}"/>
    <hyperlink ref="P86" r:id="rId31" xr:uid="{96286438-362B-40DD-B9A3-7A3553982567}"/>
    <hyperlink ref="P85" r:id="rId32" xr:uid="{965E07E1-48EF-4AF2-99AC-86613E3A391B}"/>
    <hyperlink ref="P63" r:id="rId33" xr:uid="{7939B7CF-4BAE-41E7-894E-4BF1E1C84D25}"/>
    <hyperlink ref="P62" r:id="rId34" xr:uid="{C440054D-D2F0-4CAA-A620-C4D3B3E9D0B6}"/>
    <hyperlink ref="P61" r:id="rId35" xr:uid="{29E21E59-DC81-4DC3-AF06-F8EC99091C7C}"/>
    <hyperlink ref="P71" r:id="rId36" xr:uid="{AFD9AB9F-C81B-4BD1-A40B-01457D02EE0F}"/>
    <hyperlink ref="P70" r:id="rId37" xr:uid="{6B8816EA-1A07-4859-B5B3-5FC01F9DC124}"/>
    <hyperlink ref="P67" r:id="rId38" xr:uid="{A9AA373C-FC1A-40E9-A8D8-5BFCCBF6916F}"/>
    <hyperlink ref="P68" r:id="rId39" xr:uid="{FA978F4C-E7D2-4FD1-B8B6-C3972C68FEE9}"/>
    <hyperlink ref="P69" r:id="rId40" xr:uid="{B6529B0B-AEB3-4E9D-8BEC-03865EA6C14C}"/>
    <hyperlink ref="P80" r:id="rId41" xr:uid="{515BDF3D-BAB1-4FFA-968A-8936C709C958}"/>
    <hyperlink ref="P79" r:id="rId42" xr:uid="{51C4937D-DAC7-4274-8C14-92EA30D60D1D}"/>
    <hyperlink ref="P77" r:id="rId43" xr:uid="{43BCC242-78E4-41A7-B235-8863F0D146FA}"/>
    <hyperlink ref="P78" r:id="rId44" xr:uid="{F2E26CDA-9FC4-476C-976B-0620D5373FD4}"/>
    <hyperlink ref="P84" r:id="rId45" xr:uid="{521D8005-3A9F-489A-9682-67A1E649258D}"/>
    <hyperlink ref="P83" r:id="rId46" xr:uid="{E72D2001-A5E3-4F6D-B789-D6365834A689}"/>
    <hyperlink ref="P81" r:id="rId47" xr:uid="{79D35B82-0198-4B1A-B23B-4DB30E39C1EA}"/>
    <hyperlink ref="P82" r:id="rId48" xr:uid="{8EFE1176-A41A-4C7C-B74C-D0E39306ECF1}"/>
    <hyperlink ref="P88" r:id="rId49" xr:uid="{DCEEFE8E-9F59-4A17-94AF-4FDBFA3483A7}"/>
    <hyperlink ref="P87" r:id="rId50" xr:uid="{3428B944-7129-440B-B67A-440832101F75}"/>
    <hyperlink ref="P90" r:id="rId51" xr:uid="{B4D29A4F-8DB3-464E-8AF6-648AB5756658}"/>
    <hyperlink ref="P89" r:id="rId52" xr:uid="{6621978F-BBD4-4FE8-9B45-E091A0DEA9B2}"/>
    <hyperlink ref="P46" r:id="rId53" xr:uid="{98BE7C7D-BDFD-49DE-AD2C-8CC1D975EE54}"/>
    <hyperlink ref="P48" r:id="rId54" xr:uid="{80FCD3D6-886A-4753-BD5E-76BF381F09DD}"/>
    <hyperlink ref="P50" r:id="rId55" xr:uid="{35C8F299-0431-4154-BA8E-D57684DD5AFF}"/>
    <hyperlink ref="P49" r:id="rId56" xr:uid="{039A2838-E872-4E04-BD73-2D02C60901F5}"/>
    <hyperlink ref="P44" r:id="rId57" xr:uid="{10916CED-24C0-44F1-BF83-3DF6225C255A}"/>
    <hyperlink ref="P45" r:id="rId58" xr:uid="{185DC344-E77D-4E79-9F13-4A4114AD973A}"/>
    <hyperlink ref="P72" r:id="rId59" xr:uid="{33F6CDA7-9184-4782-9824-A8A77009C9F3}"/>
    <hyperlink ref="P73" r:id="rId60" xr:uid="{BE1605CF-AD15-42C6-B239-3BD3AF93EC89}"/>
    <hyperlink ref="P74" r:id="rId61" xr:uid="{97D22250-76AA-4A54-98A4-33B9943F85B5}"/>
    <hyperlink ref="P75" r:id="rId62" xr:uid="{EB6F1AD3-7CE1-4326-A2DF-19596935B0AF}"/>
    <hyperlink ref="P76" r:id="rId63" xr:uid="{98603C66-FEE4-4179-ADAB-C560D329E03F}"/>
    <hyperlink ref="P64" r:id="rId64" xr:uid="{2C698C04-66B3-4D04-A398-67F6DDD3BB80}"/>
    <hyperlink ref="P35" r:id="rId65" xr:uid="{E1CCDE4A-D69B-4D05-A801-DC5AA12ED887}"/>
  </hyperlinks>
  <pageMargins left="0.511811024" right="0.511811024" top="0.78740157499999996" bottom="0.78740157499999996" header="0.31496062000000002" footer="0.31496062000000002"/>
  <tableParts count="1">
    <tablePart r:id="rId6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A86D-7E0F-4C06-803B-01FF5FF005D8}">
  <sheetPr>
    <tabColor theme="9" tint="-0.499984740745262"/>
  </sheetPr>
  <dimension ref="A1:N102"/>
  <sheetViews>
    <sheetView showGridLines="0" zoomScaleNormal="100" workbookViewId="0">
      <pane ySplit="1" topLeftCell="A61" activePane="bottomLeft" state="frozen"/>
      <selection pane="bottomLeft" activeCell="K70" sqref="K70"/>
    </sheetView>
  </sheetViews>
  <sheetFormatPr defaultColWidth="0" defaultRowHeight="15" customHeight="1" x14ac:dyDescent="0.3"/>
  <cols>
    <col min="1" max="1" width="23.5546875" style="1" customWidth="1"/>
    <col min="2" max="2" width="8.33203125" style="1" bestFit="1" customWidth="1"/>
    <col min="3" max="3" width="11.109375" style="16" bestFit="1" customWidth="1"/>
    <col min="4" max="4" width="8.6640625" style="72" bestFit="1" customWidth="1"/>
    <col min="5" max="5" width="10.88671875" style="1" bestFit="1" customWidth="1"/>
    <col min="6" max="6" width="28.6640625" style="15" customWidth="1"/>
    <col min="7" max="7" width="11.44140625" style="14" bestFit="1" customWidth="1"/>
    <col min="8" max="8" width="12.33203125" style="1" bestFit="1" customWidth="1"/>
    <col min="9" max="9" width="10.44140625" style="15" bestFit="1" customWidth="1"/>
    <col min="10" max="10" width="11.33203125" style="16" bestFit="1" customWidth="1"/>
    <col min="11" max="11" width="49.88671875" style="15" customWidth="1"/>
    <col min="12" max="12" width="62.44140625" style="15" customWidth="1"/>
    <col min="13" max="13" width="7.5546875" style="1" hidden="1" customWidth="1"/>
    <col min="14" max="14" width="22.6640625" style="1" hidden="1" customWidth="1"/>
    <col min="15" max="16384" width="8.88671875" style="1" hidden="1"/>
  </cols>
  <sheetData>
    <row r="1" spans="1:12" ht="14.4" x14ac:dyDescent="0.3">
      <c r="A1" s="4" t="s">
        <v>36</v>
      </c>
      <c r="B1" s="1" t="s">
        <v>349</v>
      </c>
      <c r="C1" s="16" t="s">
        <v>35</v>
      </c>
      <c r="D1" s="72" t="s">
        <v>350</v>
      </c>
      <c r="E1" s="1" t="s">
        <v>351</v>
      </c>
      <c r="F1" s="15" t="s">
        <v>352</v>
      </c>
      <c r="G1" s="14" t="s">
        <v>78</v>
      </c>
      <c r="H1" s="4" t="s">
        <v>353</v>
      </c>
      <c r="I1" s="15" t="s">
        <v>354</v>
      </c>
      <c r="J1" s="16" t="s">
        <v>355</v>
      </c>
      <c r="K1" s="70" t="s">
        <v>356</v>
      </c>
      <c r="L1" s="15" t="s">
        <v>357</v>
      </c>
    </row>
    <row r="2" spans="1:12" ht="14.4" x14ac:dyDescent="0.3">
      <c r="A2" s="4" t="s">
        <v>39</v>
      </c>
      <c r="B2" s="1" t="s">
        <v>49</v>
      </c>
      <c r="C2" s="16">
        <v>45955</v>
      </c>
      <c r="D2" s="72" t="s">
        <v>358</v>
      </c>
      <c r="E2" s="1" t="str">
        <f>_xlfn.XLOOKUP(F2,UTIL!Q:Q,UTIL!N:N,"-")</f>
        <v>012154080</v>
      </c>
      <c r="F2" s="15" t="s">
        <v>67</v>
      </c>
      <c r="G2" s="14">
        <v>52</v>
      </c>
      <c r="H2" s="4" t="s">
        <v>359</v>
      </c>
      <c r="I2" s="15">
        <v>230365</v>
      </c>
      <c r="J2" s="16">
        <v>45979</v>
      </c>
      <c r="K2" s="71" t="s">
        <v>360</v>
      </c>
      <c r="L2" s="15" t="str">
        <f t="shared" ref="L2:L33" si="0">TEXT($C2,"dd.mm") &amp; " -Ped " &amp; D2 &amp; " -" &amp; F2 &amp; " -R$" &amp; G2 &amp; IF(LEN(TRIM(I2))=0, "", " -NF " &amp; TRIM(I2))</f>
        <v>25.10 -Ped 047889 -TX LOG -TR PEÇA -R$52 -NF 230365</v>
      </c>
    </row>
    <row r="3" spans="1:12" ht="14.4" x14ac:dyDescent="0.3">
      <c r="A3" s="4" t="s">
        <v>361</v>
      </c>
      <c r="B3" s="1" t="s">
        <v>49</v>
      </c>
      <c r="C3" s="16">
        <v>45962</v>
      </c>
      <c r="D3" s="72" t="s">
        <v>362</v>
      </c>
      <c r="E3" s="1" t="str">
        <f>_xlfn.XLOOKUP(F3,UTIL!Q:Q,UTIL!N:N,"-")</f>
        <v>046304055</v>
      </c>
      <c r="F3" s="15" t="s">
        <v>363</v>
      </c>
      <c r="G3" s="14">
        <v>500</v>
      </c>
      <c r="H3" s="4" t="s">
        <v>364</v>
      </c>
      <c r="K3" s="71"/>
      <c r="L3" s="15" t="str">
        <f t="shared" si="0"/>
        <v>01.11 -Ped 047552 -GRICZYNSKI -TR MAQ -R$500</v>
      </c>
    </row>
    <row r="4" spans="1:12" ht="14.4" x14ac:dyDescent="0.3">
      <c r="A4" s="4" t="s">
        <v>361</v>
      </c>
      <c r="B4" s="1" t="s">
        <v>49</v>
      </c>
      <c r="C4" s="16">
        <v>45962</v>
      </c>
      <c r="D4" s="72" t="s">
        <v>362</v>
      </c>
      <c r="E4" s="1" t="str">
        <f>_xlfn.XLOOKUP(F4,UTIL!Q:Q,UTIL!N:N,"-")</f>
        <v>046304055</v>
      </c>
      <c r="F4" s="15" t="s">
        <v>363</v>
      </c>
      <c r="G4" s="14">
        <v>300</v>
      </c>
      <c r="H4" s="4" t="s">
        <v>364</v>
      </c>
      <c r="K4" s="71"/>
      <c r="L4" s="15" t="str">
        <f t="shared" si="0"/>
        <v>01.11 -Ped 047552 -GRICZYNSKI -TR MAQ -R$300</v>
      </c>
    </row>
    <row r="5" spans="1:12" ht="14.4" x14ac:dyDescent="0.3">
      <c r="A5" s="4" t="s">
        <v>361</v>
      </c>
      <c r="B5" s="1" t="s">
        <v>49</v>
      </c>
      <c r="C5" s="16">
        <v>45962</v>
      </c>
      <c r="D5" s="72" t="s">
        <v>362</v>
      </c>
      <c r="E5" s="1" t="str">
        <f>_xlfn.XLOOKUP(F5,UTIL!Q:Q,UTIL!N:N,"-")</f>
        <v>046304055</v>
      </c>
      <c r="F5" s="15" t="s">
        <v>363</v>
      </c>
      <c r="G5" s="14">
        <v>300</v>
      </c>
      <c r="H5" s="4" t="s">
        <v>364</v>
      </c>
      <c r="K5" s="71"/>
      <c r="L5" s="15" t="str">
        <f t="shared" si="0"/>
        <v>01.11 -Ped 047552 -GRICZYNSKI -TR MAQ -R$300</v>
      </c>
    </row>
    <row r="6" spans="1:12" ht="14.4" x14ac:dyDescent="0.3">
      <c r="A6" s="4" t="s">
        <v>37</v>
      </c>
      <c r="B6" s="1" t="s">
        <v>47</v>
      </c>
      <c r="C6" s="16">
        <v>45962</v>
      </c>
      <c r="D6" s="72" t="s">
        <v>365</v>
      </c>
      <c r="E6" s="1" t="str">
        <f>_xlfn.XLOOKUP(F6,UTIL!Q:Q,UTIL!N:N,"-")</f>
        <v>006914002</v>
      </c>
      <c r="F6" s="15" t="s">
        <v>366</v>
      </c>
      <c r="G6" s="14">
        <v>1000</v>
      </c>
      <c r="H6" s="4" t="s">
        <v>364</v>
      </c>
      <c r="K6" s="71" t="s">
        <v>367</v>
      </c>
      <c r="L6" s="15" t="str">
        <f t="shared" si="0"/>
        <v>01.11 -Ped 047315 -TRANSCAPITINGA-TR MAQ -R$1000</v>
      </c>
    </row>
    <row r="7" spans="1:12" ht="14.4" x14ac:dyDescent="0.3">
      <c r="A7" s="4" t="s">
        <v>368</v>
      </c>
      <c r="B7" s="1" t="s">
        <v>51</v>
      </c>
      <c r="C7" s="16">
        <v>45964</v>
      </c>
      <c r="D7" s="72" t="s">
        <v>369</v>
      </c>
      <c r="E7" s="1" t="str">
        <f>_xlfn.XLOOKUP(F7,UTIL!Q:Q,UTIL!N:N,"-")</f>
        <v>018725298</v>
      </c>
      <c r="F7" s="15" t="s">
        <v>370</v>
      </c>
      <c r="G7" s="14">
        <v>650</v>
      </c>
      <c r="H7" s="4" t="s">
        <v>364</v>
      </c>
      <c r="I7" s="15">
        <v>1068</v>
      </c>
      <c r="J7" s="16">
        <v>45979</v>
      </c>
      <c r="K7" s="71" t="s">
        <v>371</v>
      </c>
      <c r="L7" s="15" t="str">
        <f t="shared" si="0"/>
        <v>03.11 -Ped 047805 -MAZETTO -TR MAQ -R$650 -NF 1068</v>
      </c>
    </row>
    <row r="8" spans="1:12" ht="14.4" x14ac:dyDescent="0.3">
      <c r="A8" s="4" t="s">
        <v>372</v>
      </c>
      <c r="B8" s="1" t="s">
        <v>51</v>
      </c>
      <c r="C8" s="16">
        <v>45964</v>
      </c>
      <c r="D8" s="72" t="s">
        <v>369</v>
      </c>
      <c r="E8" s="1" t="str">
        <f>_xlfn.XLOOKUP(F8,UTIL!Q:Q,UTIL!N:N,"-")</f>
        <v>018725298</v>
      </c>
      <c r="F8" s="15" t="s">
        <v>370</v>
      </c>
      <c r="G8" s="14">
        <v>650</v>
      </c>
      <c r="H8" s="4" t="s">
        <v>364</v>
      </c>
      <c r="I8" s="15">
        <v>1068</v>
      </c>
      <c r="J8" s="16">
        <v>45979</v>
      </c>
      <c r="K8" s="71" t="s">
        <v>373</v>
      </c>
      <c r="L8" s="15" t="str">
        <f t="shared" si="0"/>
        <v>03.11 -Ped 047805 -MAZETTO -TR MAQ -R$650 -NF 1068</v>
      </c>
    </row>
    <row r="9" spans="1:12" ht="14.4" x14ac:dyDescent="0.3">
      <c r="A9" s="4" t="s">
        <v>361</v>
      </c>
      <c r="B9" s="1" t="s">
        <v>51</v>
      </c>
      <c r="C9" s="16">
        <v>45964</v>
      </c>
      <c r="D9" s="72" t="s">
        <v>369</v>
      </c>
      <c r="E9" s="1" t="str">
        <f>_xlfn.XLOOKUP(F9,UTIL!Q:Q,UTIL!N:N,"-")</f>
        <v>018725298</v>
      </c>
      <c r="F9" s="15" t="s">
        <v>370</v>
      </c>
      <c r="G9" s="14">
        <v>1352</v>
      </c>
      <c r="H9" s="4" t="s">
        <v>364</v>
      </c>
      <c r="I9" s="15">
        <v>1069</v>
      </c>
      <c r="J9" s="16">
        <v>45979</v>
      </c>
      <c r="K9" s="71" t="s">
        <v>374</v>
      </c>
      <c r="L9" s="15" t="str">
        <f t="shared" si="0"/>
        <v>03.11 -Ped 047805 -MAZETTO -TR MAQ -R$1352 -NF 1069</v>
      </c>
    </row>
    <row r="10" spans="1:12" ht="14.4" x14ac:dyDescent="0.3">
      <c r="A10" s="4" t="s">
        <v>38</v>
      </c>
      <c r="B10" s="1" t="s">
        <v>52</v>
      </c>
      <c r="C10" s="16">
        <v>45964</v>
      </c>
      <c r="D10" s="1" t="s">
        <v>375</v>
      </c>
      <c r="E10" s="1" t="str">
        <f>_xlfn.XLOOKUP(F10,UTIL!Q:Q,UTIL!N:N,"-")</f>
        <v>061196032</v>
      </c>
      <c r="F10" s="15" t="s">
        <v>69</v>
      </c>
      <c r="G10" s="14">
        <v>200</v>
      </c>
      <c r="H10" s="4" t="s">
        <v>364</v>
      </c>
      <c r="I10" s="15">
        <v>48</v>
      </c>
      <c r="J10" s="16">
        <v>45966</v>
      </c>
      <c r="K10" s="71"/>
      <c r="L10" s="15" t="str">
        <f t="shared" si="0"/>
        <v>03.11 -Ped 047258 -ANDREIA R. COURIER -R$200 -NF 48</v>
      </c>
    </row>
    <row r="11" spans="1:12" ht="14.4" x14ac:dyDescent="0.3">
      <c r="A11" s="4" t="s">
        <v>38</v>
      </c>
      <c r="B11" s="1" t="s">
        <v>52</v>
      </c>
      <c r="C11" s="16">
        <v>45964</v>
      </c>
      <c r="D11" s="1" t="s">
        <v>376</v>
      </c>
      <c r="E11" s="1" t="str">
        <f>_xlfn.XLOOKUP(F11,UTIL!Q:Q,UTIL!N:N,"-")</f>
        <v>049138592</v>
      </c>
      <c r="F11" s="15" t="s">
        <v>59</v>
      </c>
      <c r="G11" s="14">
        <v>1210</v>
      </c>
      <c r="H11" s="4" t="s">
        <v>364</v>
      </c>
      <c r="I11" s="15">
        <v>247</v>
      </c>
      <c r="J11" s="16">
        <v>45967</v>
      </c>
      <c r="K11" s="71" t="s">
        <v>377</v>
      </c>
      <c r="L11" s="15" t="str">
        <f t="shared" si="0"/>
        <v>03.11 -Ped 047247 -DELTA MOTOS COURIER -R$1210 -NF 247</v>
      </c>
    </row>
    <row r="12" spans="1:12" ht="14.4" x14ac:dyDescent="0.3">
      <c r="A12" s="4" t="s">
        <v>38</v>
      </c>
      <c r="B12" s="1" t="s">
        <v>51</v>
      </c>
      <c r="C12" s="16">
        <v>45964</v>
      </c>
      <c r="D12" s="1" t="s">
        <v>378</v>
      </c>
      <c r="E12" s="1" t="str">
        <f>_xlfn.XLOOKUP(F12,UTIL!Q:Q,UTIL!N:N,"-")</f>
        <v>049138592</v>
      </c>
      <c r="F12" s="15" t="s">
        <v>59</v>
      </c>
      <c r="G12" s="14">
        <v>550</v>
      </c>
      <c r="H12" s="4" t="s">
        <v>364</v>
      </c>
      <c r="I12" s="15">
        <v>246</v>
      </c>
      <c r="J12" s="16">
        <v>45968</v>
      </c>
      <c r="K12" s="71"/>
      <c r="L12" s="15" t="str">
        <f t="shared" si="0"/>
        <v>03.11 -Ped 047246 -DELTA MOTOS COURIER -R$550 -NF 246</v>
      </c>
    </row>
    <row r="13" spans="1:12" ht="14.4" x14ac:dyDescent="0.3">
      <c r="A13" s="4" t="s">
        <v>38</v>
      </c>
      <c r="B13" s="1" t="s">
        <v>49</v>
      </c>
      <c r="C13" s="16">
        <v>45964</v>
      </c>
      <c r="D13" s="1" t="s">
        <v>379</v>
      </c>
      <c r="E13" s="1" t="str">
        <f>_xlfn.XLOOKUP(F13,UTIL!Q:Q,UTIL!N:N,"-")</f>
        <v>049138592</v>
      </c>
      <c r="F13" s="15" t="s">
        <v>59</v>
      </c>
      <c r="G13" s="14">
        <v>180</v>
      </c>
      <c r="H13" s="4" t="s">
        <v>364</v>
      </c>
      <c r="I13" s="15">
        <v>245</v>
      </c>
      <c r="J13" s="16">
        <v>45969</v>
      </c>
      <c r="K13" s="71" t="s">
        <v>380</v>
      </c>
      <c r="L13" s="15" t="str">
        <f t="shared" si="0"/>
        <v>03.11 -Ped 047233 -DELTA MOTOS COURIER -R$180 -NF 245</v>
      </c>
    </row>
    <row r="14" spans="1:12" ht="14.4" x14ac:dyDescent="0.3">
      <c r="A14" s="4" t="s">
        <v>38</v>
      </c>
      <c r="B14" s="1" t="s">
        <v>47</v>
      </c>
      <c r="C14" s="16">
        <v>45964</v>
      </c>
      <c r="D14" s="1" t="s">
        <v>381</v>
      </c>
      <c r="E14" s="1" t="str">
        <f>_xlfn.XLOOKUP(F14,UTIL!Q:Q,UTIL!N:N,"-")</f>
        <v>049138592</v>
      </c>
      <c r="F14" s="15" t="s">
        <v>59</v>
      </c>
      <c r="G14" s="14">
        <v>990</v>
      </c>
      <c r="H14" s="4" t="s">
        <v>364</v>
      </c>
      <c r="I14" s="15">
        <v>244</v>
      </c>
      <c r="J14" s="16">
        <v>45970</v>
      </c>
      <c r="K14" s="71"/>
      <c r="L14" s="15" t="str">
        <f t="shared" si="0"/>
        <v>03.11 -Ped 047243 -DELTA MOTOS COURIER -R$990 -NF 244</v>
      </c>
    </row>
    <row r="15" spans="1:12" ht="14.4" x14ac:dyDescent="0.3">
      <c r="A15" s="4" t="s">
        <v>38</v>
      </c>
      <c r="B15" s="1" t="s">
        <v>54</v>
      </c>
      <c r="C15" s="16">
        <v>45964</v>
      </c>
      <c r="D15" s="1" t="s">
        <v>382</v>
      </c>
      <c r="E15" s="1" t="str">
        <f>_xlfn.XLOOKUP(F15,UTIL!Q:Q,UTIL!N:N,"-")</f>
        <v>049138592</v>
      </c>
      <c r="F15" s="15" t="s">
        <v>59</v>
      </c>
      <c r="G15" s="14">
        <v>245</v>
      </c>
      <c r="H15" s="4" t="s">
        <v>364</v>
      </c>
      <c r="I15" s="15">
        <v>243</v>
      </c>
      <c r="J15" s="16">
        <v>45971</v>
      </c>
      <c r="K15" s="71"/>
      <c r="L15" s="15" t="str">
        <f t="shared" si="0"/>
        <v>03.11 -Ped 047244 -DELTA MOTOS COURIER -R$245 -NF 243</v>
      </c>
    </row>
    <row r="16" spans="1:12" ht="14.4" x14ac:dyDescent="0.3">
      <c r="A16" s="4" t="s">
        <v>38</v>
      </c>
      <c r="B16" s="1" t="s">
        <v>48</v>
      </c>
      <c r="C16" s="16">
        <v>45964</v>
      </c>
      <c r="D16" s="1" t="s">
        <v>383</v>
      </c>
      <c r="E16" s="1" t="str">
        <f>_xlfn.XLOOKUP(F16,UTIL!Q:Q,UTIL!N:N,"-")</f>
        <v>049138592</v>
      </c>
      <c r="F16" s="15" t="s">
        <v>59</v>
      </c>
      <c r="G16" s="14">
        <v>8245</v>
      </c>
      <c r="H16" s="4" t="s">
        <v>364</v>
      </c>
      <c r="I16" s="15">
        <v>242</v>
      </c>
      <c r="J16" s="16">
        <v>45972</v>
      </c>
      <c r="K16" s="71"/>
      <c r="L16" s="15" t="str">
        <f t="shared" si="0"/>
        <v>03.11 -Ped 047249 -DELTA MOTOS COURIER -R$8245 -NF 242</v>
      </c>
    </row>
    <row r="17" spans="1:12" ht="14.4" x14ac:dyDescent="0.3">
      <c r="A17" s="4" t="s">
        <v>38</v>
      </c>
      <c r="B17" s="1" t="s">
        <v>52</v>
      </c>
      <c r="C17" s="16">
        <v>45964</v>
      </c>
      <c r="D17" s="1" t="s">
        <v>384</v>
      </c>
      <c r="E17" s="1" t="str">
        <f>_xlfn.XLOOKUP(F17,UTIL!Q:Q,UTIL!N:N,"-")</f>
        <v>061196032</v>
      </c>
      <c r="F17" s="15" t="s">
        <v>69</v>
      </c>
      <c r="G17" s="14">
        <v>200</v>
      </c>
      <c r="H17" s="4" t="s">
        <v>364</v>
      </c>
      <c r="I17" s="15" t="s">
        <v>385</v>
      </c>
      <c r="J17" s="16">
        <v>45972</v>
      </c>
      <c r="K17" s="71"/>
      <c r="L17" s="15" t="str">
        <f t="shared" si="0"/>
        <v>03.11 -Ped 047267 -ANDREIA R. COURIER -R$200 -NF FIN</v>
      </c>
    </row>
    <row r="18" spans="1:12" ht="14.4" x14ac:dyDescent="0.3">
      <c r="A18" s="4" t="s">
        <v>39</v>
      </c>
      <c r="B18" s="1" t="s">
        <v>47</v>
      </c>
      <c r="C18" s="16">
        <v>45964</v>
      </c>
      <c r="D18" s="1" t="s">
        <v>386</v>
      </c>
      <c r="E18" s="1" t="str">
        <f>_xlfn.XLOOKUP(F18,UTIL!Q:Q,UTIL!N:N,"-")</f>
        <v>027525938</v>
      </c>
      <c r="F18" s="15" t="s">
        <v>63</v>
      </c>
      <c r="G18" s="14">
        <v>1100</v>
      </c>
      <c r="H18" s="4" t="s">
        <v>364</v>
      </c>
      <c r="I18" s="15">
        <v>2967</v>
      </c>
      <c r="J18" s="16">
        <v>45965</v>
      </c>
      <c r="K18" s="71" t="s">
        <v>387</v>
      </c>
      <c r="L18" s="15" t="str">
        <f t="shared" si="0"/>
        <v>03.11 -Ped 047186 -ESC -TR PEÇA -R$1100 -NF 2967</v>
      </c>
    </row>
    <row r="19" spans="1:12" ht="14.4" x14ac:dyDescent="0.3">
      <c r="A19" s="4" t="s">
        <v>39</v>
      </c>
      <c r="B19" s="1" t="s">
        <v>49</v>
      </c>
      <c r="C19" s="16">
        <v>45964</v>
      </c>
      <c r="D19" s="1" t="s">
        <v>388</v>
      </c>
      <c r="E19" s="1" t="str">
        <f>_xlfn.XLOOKUP(F19,UTIL!Q:Q,UTIL!N:N,"-")</f>
        <v>027525938</v>
      </c>
      <c r="F19" s="15" t="s">
        <v>63</v>
      </c>
      <c r="G19" s="14">
        <v>550</v>
      </c>
      <c r="H19" s="4" t="s">
        <v>364</v>
      </c>
      <c r="I19" s="15">
        <v>2965</v>
      </c>
      <c r="J19" s="16">
        <v>45965</v>
      </c>
      <c r="K19" s="71" t="s">
        <v>387</v>
      </c>
      <c r="L19" s="15" t="str">
        <f t="shared" si="0"/>
        <v>03.11 -Ped 047187 -ESC -TR PEÇA -R$550 -NF 2965</v>
      </c>
    </row>
    <row r="20" spans="1:12" ht="14.4" x14ac:dyDescent="0.3">
      <c r="A20" s="4" t="s">
        <v>39</v>
      </c>
      <c r="B20" s="1" t="s">
        <v>48</v>
      </c>
      <c r="C20" s="16">
        <v>45964</v>
      </c>
      <c r="D20" s="1" t="s">
        <v>389</v>
      </c>
      <c r="E20" s="1" t="str">
        <f>_xlfn.XLOOKUP(F20,UTIL!Q:Q,UTIL!N:N,"-")</f>
        <v>027525938</v>
      </c>
      <c r="F20" s="15" t="s">
        <v>63</v>
      </c>
      <c r="G20" s="14">
        <v>600</v>
      </c>
      <c r="H20" s="4" t="s">
        <v>364</v>
      </c>
      <c r="I20" s="15">
        <v>2964</v>
      </c>
      <c r="J20" s="16">
        <v>45965</v>
      </c>
      <c r="K20" s="71" t="s">
        <v>387</v>
      </c>
      <c r="L20" s="15" t="str">
        <f t="shared" si="0"/>
        <v>03.11 -Ped 047188 -ESC -TR PEÇA -R$600 -NF 2964</v>
      </c>
    </row>
    <row r="21" spans="1:12" ht="14.4" x14ac:dyDescent="0.3">
      <c r="A21" s="4" t="s">
        <v>39</v>
      </c>
      <c r="B21" s="1" t="s">
        <v>54</v>
      </c>
      <c r="C21" s="16">
        <v>45964</v>
      </c>
      <c r="D21" s="1" t="s">
        <v>390</v>
      </c>
      <c r="E21" s="1" t="str">
        <f>_xlfn.XLOOKUP(F21,UTIL!Q:Q,UTIL!N:N,"-")</f>
        <v>027525938</v>
      </c>
      <c r="F21" s="15" t="s">
        <v>63</v>
      </c>
      <c r="G21" s="14">
        <v>550</v>
      </c>
      <c r="H21" s="4" t="s">
        <v>364</v>
      </c>
      <c r="I21" s="15">
        <v>2963</v>
      </c>
      <c r="J21" s="16">
        <v>45965</v>
      </c>
      <c r="K21" s="71" t="s">
        <v>387</v>
      </c>
      <c r="L21" s="15" t="str">
        <f t="shared" si="0"/>
        <v>03.11 -Ped 047189 -ESC -TR PEÇA -R$550 -NF 2963</v>
      </c>
    </row>
    <row r="22" spans="1:12" ht="14.4" x14ac:dyDescent="0.3">
      <c r="A22" s="4" t="s">
        <v>39</v>
      </c>
      <c r="B22" s="1" t="s">
        <v>50</v>
      </c>
      <c r="C22" s="16">
        <v>45964</v>
      </c>
      <c r="D22" s="1" t="s">
        <v>391</v>
      </c>
      <c r="E22" s="1" t="str">
        <f>_xlfn.XLOOKUP(F22,UTIL!Q:Q,UTIL!N:N,"-")</f>
        <v>027525938</v>
      </c>
      <c r="F22" s="15" t="s">
        <v>63</v>
      </c>
      <c r="G22" s="14">
        <v>850</v>
      </c>
      <c r="H22" s="4" t="s">
        <v>364</v>
      </c>
      <c r="I22" s="15">
        <v>2962</v>
      </c>
      <c r="J22" s="16">
        <v>45965</v>
      </c>
      <c r="K22" s="71" t="s">
        <v>387</v>
      </c>
      <c r="L22" s="15" t="str">
        <f t="shared" si="0"/>
        <v>03.11 -Ped 047190 -ESC -TR PEÇA -R$850 -NF 2962</v>
      </c>
    </row>
    <row r="23" spans="1:12" ht="14.4" x14ac:dyDescent="0.3">
      <c r="A23" s="4" t="s">
        <v>39</v>
      </c>
      <c r="B23" s="1" t="s">
        <v>51</v>
      </c>
      <c r="C23" s="16">
        <v>45964</v>
      </c>
      <c r="D23" s="1" t="s">
        <v>392</v>
      </c>
      <c r="E23" s="1" t="str">
        <f>_xlfn.XLOOKUP(F23,UTIL!Q:Q,UTIL!N:N,"-")</f>
        <v>027525938</v>
      </c>
      <c r="F23" s="15" t="s">
        <v>63</v>
      </c>
      <c r="G23" s="14">
        <v>1100</v>
      </c>
      <c r="H23" s="4" t="s">
        <v>364</v>
      </c>
      <c r="I23" s="15">
        <v>2969</v>
      </c>
      <c r="J23" s="16">
        <v>45965</v>
      </c>
      <c r="K23" s="71" t="s">
        <v>387</v>
      </c>
      <c r="L23" s="15" t="str">
        <f t="shared" si="0"/>
        <v>03.11 -Ped 047192 -ESC -TR PEÇA -R$1100 -NF 2969</v>
      </c>
    </row>
    <row r="24" spans="1:12" ht="14.4" x14ac:dyDescent="0.3">
      <c r="A24" s="4" t="s">
        <v>39</v>
      </c>
      <c r="B24" s="1" t="s">
        <v>52</v>
      </c>
      <c r="C24" s="16">
        <v>45964</v>
      </c>
      <c r="D24" s="1" t="s">
        <v>393</v>
      </c>
      <c r="E24" s="1" t="str">
        <f>_xlfn.XLOOKUP(F24,UTIL!Q:Q,UTIL!N:N,"-")</f>
        <v>027525938</v>
      </c>
      <c r="F24" s="15" t="s">
        <v>63</v>
      </c>
      <c r="G24" s="14">
        <v>830</v>
      </c>
      <c r="H24" s="4" t="s">
        <v>364</v>
      </c>
      <c r="I24" s="15">
        <v>2968</v>
      </c>
      <c r="J24" s="16">
        <v>45965</v>
      </c>
      <c r="K24" s="71" t="s">
        <v>387</v>
      </c>
      <c r="L24" s="15" t="str">
        <f t="shared" si="0"/>
        <v>03.11 -Ped 047193 -ESC -TR PEÇA -R$830 -NF 2968</v>
      </c>
    </row>
    <row r="25" spans="1:12" ht="14.4" x14ac:dyDescent="0.3">
      <c r="A25" s="4" t="s">
        <v>361</v>
      </c>
      <c r="B25" s="1" t="s">
        <v>49</v>
      </c>
      <c r="C25" s="16">
        <v>45965</v>
      </c>
      <c r="D25" s="1" t="s">
        <v>394</v>
      </c>
      <c r="E25" s="1" t="str">
        <f>_xlfn.XLOOKUP(F25,UTIL!Q:Q,UTIL!N:N,"-")</f>
        <v>032878844</v>
      </c>
      <c r="F25" s="15" t="s">
        <v>395</v>
      </c>
      <c r="G25" s="14">
        <v>910</v>
      </c>
      <c r="H25" s="4" t="s">
        <v>364</v>
      </c>
      <c r="I25" s="15">
        <v>177</v>
      </c>
      <c r="J25" s="16">
        <v>45967</v>
      </c>
      <c r="K25" s="71" t="s">
        <v>396</v>
      </c>
      <c r="L25" s="15" t="str">
        <f t="shared" si="0"/>
        <v>04.11 -Ped 047269 -STOSKI -TR MAQ -R$910 -NF 177</v>
      </c>
    </row>
    <row r="26" spans="1:12" ht="14.4" x14ac:dyDescent="0.3">
      <c r="A26" s="4" t="s">
        <v>361</v>
      </c>
      <c r="B26" s="1" t="s">
        <v>47</v>
      </c>
      <c r="C26" s="16">
        <v>45965</v>
      </c>
      <c r="D26" s="1" t="s">
        <v>365</v>
      </c>
      <c r="E26" s="1" t="str">
        <f>_xlfn.XLOOKUP(F26,UTIL!Q:Q,UTIL!N:N,"-")</f>
        <v>006914002</v>
      </c>
      <c r="F26" s="15" t="s">
        <v>366</v>
      </c>
      <c r="G26" s="14">
        <v>1295</v>
      </c>
      <c r="H26" s="4" t="s">
        <v>364</v>
      </c>
      <c r="I26" s="15">
        <v>186</v>
      </c>
      <c r="J26" s="16">
        <v>45968</v>
      </c>
      <c r="K26" s="71" t="s">
        <v>397</v>
      </c>
      <c r="L26" s="15" t="str">
        <f t="shared" si="0"/>
        <v>04.11 -Ped 047315 -TRANSCAPITINGA-TR MAQ -R$1295 -NF 186</v>
      </c>
    </row>
    <row r="27" spans="1:12" ht="14.4" x14ac:dyDescent="0.3">
      <c r="A27" s="4" t="s">
        <v>38</v>
      </c>
      <c r="B27" s="1" t="s">
        <v>54</v>
      </c>
      <c r="C27" s="16">
        <v>45965</v>
      </c>
      <c r="D27" s="1" t="s">
        <v>398</v>
      </c>
      <c r="E27" s="1" t="str">
        <f>_xlfn.XLOOKUP(F27,UTIL!Q:Q,UTIL!N:N,"-")</f>
        <v>034154225</v>
      </c>
      <c r="F27" s="15" t="s">
        <v>70</v>
      </c>
      <c r="G27" s="14">
        <v>150</v>
      </c>
      <c r="H27" s="4" t="s">
        <v>364</v>
      </c>
      <c r="I27" s="15">
        <v>420</v>
      </c>
      <c r="J27" s="16">
        <v>45967</v>
      </c>
      <c r="K27" s="71" t="s">
        <v>399</v>
      </c>
      <c r="L27" s="15" t="str">
        <f t="shared" si="0"/>
        <v>04.11 -Ped 047199 -JOHN ELVIS COURIER -R$150 -NF 420</v>
      </c>
    </row>
    <row r="28" spans="1:12" ht="14.4" x14ac:dyDescent="0.3">
      <c r="A28" s="4" t="s">
        <v>38</v>
      </c>
      <c r="B28" s="1" t="s">
        <v>52</v>
      </c>
      <c r="C28" s="16">
        <v>45965</v>
      </c>
      <c r="D28" s="1" t="s">
        <v>400</v>
      </c>
      <c r="E28" s="1" t="str">
        <f>_xlfn.XLOOKUP(F28,UTIL!Q:Q,UTIL!N:N,"-")</f>
        <v>061196032</v>
      </c>
      <c r="F28" s="15" t="s">
        <v>69</v>
      </c>
      <c r="G28" s="14">
        <v>80</v>
      </c>
      <c r="H28" s="4" t="s">
        <v>364</v>
      </c>
      <c r="I28" s="15">
        <v>51</v>
      </c>
      <c r="J28" s="16">
        <v>45971</v>
      </c>
      <c r="K28" s="71"/>
      <c r="L28" s="15" t="str">
        <f t="shared" si="0"/>
        <v>04.11 -Ped 047437 -ANDREIA R. COURIER -R$80 -NF 51</v>
      </c>
    </row>
    <row r="29" spans="1:12" ht="14.4" x14ac:dyDescent="0.3">
      <c r="A29" s="4" t="s">
        <v>38</v>
      </c>
      <c r="B29" s="1" t="s">
        <v>51</v>
      </c>
      <c r="C29" s="16">
        <v>45965</v>
      </c>
      <c r="D29" s="72" t="s">
        <v>401</v>
      </c>
      <c r="E29" s="1" t="str">
        <f>_xlfn.XLOOKUP(F29,UTIL!Q:Q,UTIL!N:N,"-")</f>
        <v>051496564</v>
      </c>
      <c r="F29" s="15" t="s">
        <v>64</v>
      </c>
      <c r="G29" s="14">
        <v>400</v>
      </c>
      <c r="H29" s="4" t="s">
        <v>364</v>
      </c>
      <c r="I29" s="15">
        <v>420</v>
      </c>
      <c r="J29" s="16">
        <v>45973</v>
      </c>
      <c r="K29" s="71" t="s">
        <v>402</v>
      </c>
      <c r="L29" s="15" t="str">
        <f t="shared" si="0"/>
        <v>04.11 -Ped 047525 -MARCOS D. COURIER -R$400 -NF 420</v>
      </c>
    </row>
    <row r="30" spans="1:12" ht="14.4" x14ac:dyDescent="0.3">
      <c r="A30" s="4" t="s">
        <v>74</v>
      </c>
      <c r="B30" s="1" t="s">
        <v>48</v>
      </c>
      <c r="C30" s="16">
        <v>45965</v>
      </c>
      <c r="D30" s="1" t="s">
        <v>403</v>
      </c>
      <c r="E30" s="1" t="str">
        <f>_xlfn.XLOOKUP(F30,UTIL!Q:Q,UTIL!N:N,"-")</f>
        <v>004892707</v>
      </c>
      <c r="F30" s="15" t="s">
        <v>404</v>
      </c>
      <c r="G30" s="14">
        <v>87.62</v>
      </c>
      <c r="H30" s="4" t="s">
        <v>364</v>
      </c>
      <c r="I30" s="15" t="s">
        <v>405</v>
      </c>
      <c r="J30" s="16">
        <v>45965</v>
      </c>
      <c r="K30" s="71" t="s">
        <v>406</v>
      </c>
      <c r="L30" s="15" t="str">
        <f t="shared" si="0"/>
        <v>04.11 -Ped 047178 -DNIT -R$87,62 -NF BOLETO</v>
      </c>
    </row>
    <row r="31" spans="1:12" ht="14.4" x14ac:dyDescent="0.3">
      <c r="A31" s="4" t="s">
        <v>61</v>
      </c>
      <c r="B31" s="1" t="s">
        <v>48</v>
      </c>
      <c r="C31" s="16">
        <v>45966</v>
      </c>
      <c r="D31" s="1" t="s">
        <v>407</v>
      </c>
      <c r="E31" s="1" t="str">
        <f>_xlfn.XLOOKUP(F31,UTIL!Q:Q,UTIL!N:N,"-")</f>
        <v>078206513</v>
      </c>
      <c r="F31" s="15" t="s">
        <v>408</v>
      </c>
      <c r="G31" s="14">
        <v>156.18</v>
      </c>
      <c r="H31" s="4" t="s">
        <v>364</v>
      </c>
      <c r="I31" s="15" t="s">
        <v>405</v>
      </c>
      <c r="J31" s="16">
        <v>45964</v>
      </c>
      <c r="K31" s="71" t="s">
        <v>409</v>
      </c>
      <c r="L31" s="15" t="str">
        <f t="shared" si="0"/>
        <v>05.11 -Ped 047117 -DETRAN PR -R$156,18 -NF BOLETO</v>
      </c>
    </row>
    <row r="32" spans="1:12" ht="14.4" x14ac:dyDescent="0.3">
      <c r="A32" s="4" t="s">
        <v>61</v>
      </c>
      <c r="B32" s="1" t="s">
        <v>48</v>
      </c>
      <c r="C32" s="16">
        <v>45966</v>
      </c>
      <c r="D32" s="1" t="s">
        <v>407</v>
      </c>
      <c r="E32" s="1" t="str">
        <f>_xlfn.XLOOKUP(F32,UTIL!Q:Q,UTIL!N:N,"-")</f>
        <v>078206513</v>
      </c>
      <c r="F32" s="15" t="s">
        <v>408</v>
      </c>
      <c r="G32" s="14">
        <v>94.61</v>
      </c>
      <c r="H32" s="4" t="s">
        <v>364</v>
      </c>
      <c r="I32" s="15" t="s">
        <v>405</v>
      </c>
      <c r="J32" s="16">
        <v>45964</v>
      </c>
      <c r="K32" s="71" t="s">
        <v>410</v>
      </c>
      <c r="L32" s="15" t="str">
        <f t="shared" si="0"/>
        <v>05.11 -Ped 047117 -DETRAN PR -R$94,61 -NF BOLETO</v>
      </c>
    </row>
    <row r="33" spans="1:12" ht="14.4" x14ac:dyDescent="0.3">
      <c r="A33" s="4" t="s">
        <v>361</v>
      </c>
      <c r="B33" s="1" t="s">
        <v>47</v>
      </c>
      <c r="C33" s="16">
        <v>45966</v>
      </c>
      <c r="D33" s="1" t="s">
        <v>365</v>
      </c>
      <c r="E33" s="1" t="str">
        <f>_xlfn.XLOOKUP(F33,UTIL!Q:Q,UTIL!N:N,"-")</f>
        <v>006914002</v>
      </c>
      <c r="F33" s="15" t="s">
        <v>366</v>
      </c>
      <c r="G33" s="14">
        <v>975</v>
      </c>
      <c r="H33" s="4" t="s">
        <v>364</v>
      </c>
      <c r="I33" s="15">
        <v>186</v>
      </c>
      <c r="J33" s="16">
        <v>45968</v>
      </c>
      <c r="K33" s="71" t="s">
        <v>411</v>
      </c>
      <c r="L33" s="15" t="str">
        <f t="shared" si="0"/>
        <v>05.11 -Ped 047315 -TRANSCAPITINGA-TR MAQ -R$975 -NF 186</v>
      </c>
    </row>
    <row r="34" spans="1:12" ht="14.4" x14ac:dyDescent="0.3">
      <c r="A34" s="4" t="s">
        <v>361</v>
      </c>
      <c r="B34" s="1" t="s">
        <v>51</v>
      </c>
      <c r="C34" s="16">
        <v>45966</v>
      </c>
      <c r="D34" s="72" t="s">
        <v>369</v>
      </c>
      <c r="E34" s="1" t="str">
        <f>_xlfn.XLOOKUP(F34,UTIL!Q:Q,UTIL!N:N,"-")</f>
        <v>018725298</v>
      </c>
      <c r="F34" s="15" t="s">
        <v>370</v>
      </c>
      <c r="G34" s="14">
        <v>1458</v>
      </c>
      <c r="H34" s="4" t="s">
        <v>364</v>
      </c>
      <c r="I34" s="15">
        <v>1067</v>
      </c>
      <c r="J34" s="16">
        <v>45979</v>
      </c>
      <c r="K34" s="71" t="s">
        <v>412</v>
      </c>
      <c r="L34" s="15" t="str">
        <f t="shared" ref="L34:L65" si="1">TEXT($C34,"dd.mm") &amp; " -Ped " &amp; D34 &amp; " -" &amp; F34 &amp; " -R$" &amp; G34 &amp; IF(LEN(TRIM(I34))=0, "", " -NF " &amp; TRIM(I34))</f>
        <v>05.11 -Ped 047805 -MAZETTO -TR MAQ -R$1458 -NF 1067</v>
      </c>
    </row>
    <row r="35" spans="1:12" ht="14.4" x14ac:dyDescent="0.3">
      <c r="A35" s="4" t="s">
        <v>38</v>
      </c>
      <c r="B35" s="1" t="s">
        <v>50</v>
      </c>
      <c r="C35" s="16">
        <v>45966</v>
      </c>
      <c r="D35" s="1" t="s">
        <v>384</v>
      </c>
      <c r="E35" s="1" t="str">
        <f>_xlfn.XLOOKUP(F35,UTIL!Q:Q,UTIL!N:N,"-")</f>
        <v>051496564</v>
      </c>
      <c r="F35" s="15" t="s">
        <v>64</v>
      </c>
      <c r="G35" s="14">
        <v>520</v>
      </c>
      <c r="H35" s="4" t="s">
        <v>364</v>
      </c>
      <c r="I35" s="15">
        <v>408</v>
      </c>
      <c r="J35" s="16">
        <v>45967</v>
      </c>
      <c r="K35" s="71" t="s">
        <v>413</v>
      </c>
      <c r="L35" s="15" t="str">
        <f t="shared" si="1"/>
        <v>05.11 -Ped 047267 -MARCOS D. COURIER -R$520 -NF 408</v>
      </c>
    </row>
    <row r="36" spans="1:12" ht="14.4" x14ac:dyDescent="0.3">
      <c r="A36" s="4" t="s">
        <v>38</v>
      </c>
      <c r="B36" s="1" t="s">
        <v>51</v>
      </c>
      <c r="C36" s="16">
        <v>45966</v>
      </c>
      <c r="D36" s="1" t="s">
        <v>414</v>
      </c>
      <c r="E36" s="1" t="str">
        <f>_xlfn.XLOOKUP(F36,UTIL!Q:Q,UTIL!N:N,"-")</f>
        <v>051496564</v>
      </c>
      <c r="F36" s="15" t="s">
        <v>64</v>
      </c>
      <c r="G36" s="14">
        <v>180</v>
      </c>
      <c r="H36" s="4" t="s">
        <v>364</v>
      </c>
      <c r="I36" s="15">
        <v>409</v>
      </c>
      <c r="J36" s="16">
        <v>45967</v>
      </c>
      <c r="K36" s="71" t="s">
        <v>415</v>
      </c>
      <c r="L36" s="15" t="str">
        <f t="shared" si="1"/>
        <v>05.11 -Ped 047268 -MARCOS D. COURIER -R$180 -NF 409</v>
      </c>
    </row>
    <row r="37" spans="1:12" ht="14.4" x14ac:dyDescent="0.3">
      <c r="A37" s="4" t="s">
        <v>38</v>
      </c>
      <c r="B37" s="1" t="s">
        <v>48</v>
      </c>
      <c r="C37" s="16">
        <v>45966</v>
      </c>
      <c r="D37" s="1" t="s">
        <v>416</v>
      </c>
      <c r="E37" s="1" t="str">
        <f>_xlfn.XLOOKUP(F37,UTIL!Q:Q,UTIL!N:N,"-")</f>
        <v>080227796</v>
      </c>
      <c r="F37" s="15" t="s">
        <v>65</v>
      </c>
      <c r="G37" s="14">
        <v>529.48</v>
      </c>
      <c r="H37" s="4" t="s">
        <v>364</v>
      </c>
      <c r="I37" s="15">
        <v>348407</v>
      </c>
      <c r="J37" s="16">
        <v>45967</v>
      </c>
      <c r="K37" s="71" t="s">
        <v>417</v>
      </c>
      <c r="L37" s="15" t="str">
        <f t="shared" si="1"/>
        <v>05.11 -Ped 047348 -PRINCESA -TR PEÇA -R$529,48 -NF 348407</v>
      </c>
    </row>
    <row r="38" spans="1:12" ht="14.4" x14ac:dyDescent="0.3">
      <c r="A38" s="4" t="s">
        <v>38</v>
      </c>
      <c r="B38" s="1" t="s">
        <v>48</v>
      </c>
      <c r="C38" s="16">
        <v>45966</v>
      </c>
      <c r="D38" s="1" t="s">
        <v>416</v>
      </c>
      <c r="E38" s="1" t="str">
        <f>_xlfn.XLOOKUP(F38,UTIL!Q:Q,UTIL!N:N,"-")</f>
        <v>080227796</v>
      </c>
      <c r="F38" s="15" t="s">
        <v>65</v>
      </c>
      <c r="G38" s="14">
        <v>371.14</v>
      </c>
      <c r="H38" s="4" t="s">
        <v>364</v>
      </c>
      <c r="I38" s="15">
        <v>336939</v>
      </c>
      <c r="J38" s="16">
        <v>45967</v>
      </c>
      <c r="K38" s="71" t="s">
        <v>417</v>
      </c>
      <c r="L38" s="15" t="str">
        <f t="shared" si="1"/>
        <v>05.11 -Ped 047348 -PRINCESA -TR PEÇA -R$371,14 -NF 336939</v>
      </c>
    </row>
    <row r="39" spans="1:12" ht="14.4" x14ac:dyDescent="0.3">
      <c r="A39" s="4" t="s">
        <v>38</v>
      </c>
      <c r="B39" s="1" t="s">
        <v>49</v>
      </c>
      <c r="C39" s="16">
        <v>45966</v>
      </c>
      <c r="D39" s="72" t="s">
        <v>418</v>
      </c>
      <c r="E39" s="1" t="str">
        <f>_xlfn.XLOOKUP(F39,UTIL!Q:Q,UTIL!N:N,"-")</f>
        <v>031370636</v>
      </c>
      <c r="F39" s="15" t="s">
        <v>68</v>
      </c>
      <c r="G39" s="14">
        <v>180</v>
      </c>
      <c r="H39" s="4" t="s">
        <v>364</v>
      </c>
      <c r="K39" s="71" t="s">
        <v>419</v>
      </c>
      <c r="L39" s="15" t="str">
        <f t="shared" si="1"/>
        <v>05.11 -Ped 047328 -JORGE LUIZ 2 COURIER -R$180</v>
      </c>
    </row>
    <row r="40" spans="1:12" ht="14.4" x14ac:dyDescent="0.3">
      <c r="A40" s="4" t="s">
        <v>38</v>
      </c>
      <c r="B40" s="1" t="s">
        <v>50</v>
      </c>
      <c r="C40" s="16">
        <v>45967</v>
      </c>
      <c r="D40" s="1" t="s">
        <v>420</v>
      </c>
      <c r="E40" s="1" t="str">
        <f>_xlfn.XLOOKUP(F40,UTIL!Q:Q,UTIL!N:N,"-")</f>
        <v>012772524</v>
      </c>
      <c r="F40" s="15" t="s">
        <v>66</v>
      </c>
      <c r="G40" s="14">
        <v>1860</v>
      </c>
      <c r="H40" s="4" t="s">
        <v>364</v>
      </c>
      <c r="I40" s="15">
        <v>3300</v>
      </c>
      <c r="J40" s="16">
        <v>45968</v>
      </c>
      <c r="K40" s="71" t="s">
        <v>45</v>
      </c>
      <c r="L40" s="15" t="str">
        <f t="shared" si="1"/>
        <v>06.11 -Ped 047349 -UNIBOY COURIER -R$1860 -NF 3300</v>
      </c>
    </row>
    <row r="41" spans="1:12" ht="14.4" x14ac:dyDescent="0.3">
      <c r="A41" s="4" t="s">
        <v>75</v>
      </c>
      <c r="B41" s="1" t="s">
        <v>48</v>
      </c>
      <c r="C41" s="16">
        <v>45967</v>
      </c>
      <c r="D41" s="72" t="s">
        <v>421</v>
      </c>
      <c r="E41" s="1" t="str">
        <f>_xlfn.XLOOKUP(F41,UTIL!Q:Q,UTIL!N:N,"-")</f>
        <v>050435638</v>
      </c>
      <c r="F41" s="15" t="s">
        <v>422</v>
      </c>
      <c r="G41" s="14">
        <v>500</v>
      </c>
      <c r="H41" s="4" t="s">
        <v>364</v>
      </c>
      <c r="I41" s="15">
        <v>1412</v>
      </c>
      <c r="J41" s="16">
        <v>45973</v>
      </c>
      <c r="K41" s="71" t="s">
        <v>423</v>
      </c>
      <c r="L41" s="15" t="str">
        <f t="shared" si="1"/>
        <v>06.11 -Ped 047553 -ANDREANI - MT -R$500 -NF 1412</v>
      </c>
    </row>
    <row r="42" spans="1:12" ht="14.4" x14ac:dyDescent="0.3">
      <c r="A42" s="4" t="s">
        <v>75</v>
      </c>
      <c r="B42" s="1" t="s">
        <v>48</v>
      </c>
      <c r="C42" s="16">
        <v>45967</v>
      </c>
      <c r="D42" s="72" t="s">
        <v>421</v>
      </c>
      <c r="E42" s="1" t="str">
        <f>_xlfn.XLOOKUP(F42,UTIL!Q:Q,UTIL!N:N,"-")</f>
        <v>050435638</v>
      </c>
      <c r="F42" s="15" t="s">
        <v>422</v>
      </c>
      <c r="G42" s="14">
        <v>397</v>
      </c>
      <c r="H42" s="4" t="s">
        <v>364</v>
      </c>
      <c r="I42" s="15">
        <v>189</v>
      </c>
      <c r="J42" s="16">
        <v>45973</v>
      </c>
      <c r="K42" s="71" t="s">
        <v>424</v>
      </c>
      <c r="L42" s="15" t="str">
        <f t="shared" si="1"/>
        <v>06.11 -Ped 047553 -ANDREANI - MT -R$397 -NF 189</v>
      </c>
    </row>
    <row r="43" spans="1:12" ht="14.4" x14ac:dyDescent="0.3">
      <c r="A43" s="4" t="s">
        <v>361</v>
      </c>
      <c r="B43" s="1" t="s">
        <v>51</v>
      </c>
      <c r="C43" s="16">
        <v>45968</v>
      </c>
      <c r="D43" s="72" t="s">
        <v>425</v>
      </c>
      <c r="E43" s="1" t="str">
        <f>_xlfn.XLOOKUP(F43,UTIL!Q:Q,UTIL!N:N,"-")</f>
        <v>018725298</v>
      </c>
      <c r="F43" s="15" t="s">
        <v>370</v>
      </c>
      <c r="G43" s="14">
        <v>2890</v>
      </c>
      <c r="H43" s="4" t="s">
        <v>364</v>
      </c>
      <c r="I43" s="15">
        <v>1070</v>
      </c>
      <c r="J43" s="16">
        <v>45979</v>
      </c>
      <c r="K43" s="71" t="s">
        <v>426</v>
      </c>
      <c r="L43" s="15" t="str">
        <f t="shared" si="1"/>
        <v>07.11 -Ped 047806 -MAZETTO -TR MAQ -R$2890 -NF 1070</v>
      </c>
    </row>
    <row r="44" spans="1:12" ht="14.4" x14ac:dyDescent="0.3">
      <c r="A44" s="4" t="s">
        <v>38</v>
      </c>
      <c r="B44" s="1" t="s">
        <v>51</v>
      </c>
      <c r="C44" s="16">
        <v>45968</v>
      </c>
      <c r="D44" s="72" t="s">
        <v>427</v>
      </c>
      <c r="E44" s="1" t="str">
        <f>_xlfn.XLOOKUP(F44,UTIL!Q:Q,UTIL!N:N,"-")</f>
        <v>051496564</v>
      </c>
      <c r="F44" s="15" t="s">
        <v>64</v>
      </c>
      <c r="G44" s="14">
        <v>420</v>
      </c>
      <c r="H44" s="4" t="s">
        <v>364</v>
      </c>
      <c r="I44" s="15">
        <v>421</v>
      </c>
      <c r="J44" s="16">
        <v>45973</v>
      </c>
      <c r="K44" s="71" t="s">
        <v>428</v>
      </c>
      <c r="L44" s="15" t="str">
        <f t="shared" si="1"/>
        <v>07.11 -Ped 047527 -MARCOS D. COURIER -R$420 -NF 421</v>
      </c>
    </row>
    <row r="45" spans="1:12" ht="14.4" x14ac:dyDescent="0.3">
      <c r="A45" s="4" t="s">
        <v>39</v>
      </c>
      <c r="B45" s="1" t="s">
        <v>48</v>
      </c>
      <c r="C45" s="16">
        <v>45968</v>
      </c>
      <c r="D45" s="72" t="s">
        <v>429</v>
      </c>
      <c r="E45" s="1" t="str">
        <f>_xlfn.XLOOKUP(F45,UTIL!Q:Q,UTIL!N:N,"-")</f>
        <v>080227796</v>
      </c>
      <c r="F45" s="15" t="s">
        <v>65</v>
      </c>
      <c r="G45" s="14">
        <v>345.91</v>
      </c>
      <c r="H45" s="4" t="s">
        <v>364</v>
      </c>
      <c r="I45" s="15">
        <v>352387</v>
      </c>
      <c r="J45" s="16">
        <v>45975</v>
      </c>
      <c r="K45" s="71" t="s">
        <v>430</v>
      </c>
      <c r="L45" s="15" t="str">
        <f t="shared" si="1"/>
        <v>07.11 -Ped 047750 -PRINCESA -TR PEÇA -R$345,91 -NF 352387</v>
      </c>
    </row>
    <row r="46" spans="1:12" ht="14.4" x14ac:dyDescent="0.3">
      <c r="A46" s="4" t="s">
        <v>39</v>
      </c>
      <c r="B46" s="1" t="s">
        <v>48</v>
      </c>
      <c r="C46" s="16">
        <v>45968</v>
      </c>
      <c r="D46" s="72" t="s">
        <v>429</v>
      </c>
      <c r="E46" s="1" t="str">
        <f>_xlfn.XLOOKUP(F46,UTIL!Q:Q,UTIL!N:N,"-")</f>
        <v>080227796</v>
      </c>
      <c r="F46" s="15" t="s">
        <v>65</v>
      </c>
      <c r="G46" s="14">
        <v>49.74</v>
      </c>
      <c r="H46" s="4" t="s">
        <v>364</v>
      </c>
      <c r="I46" s="15">
        <v>352389</v>
      </c>
      <c r="J46" s="16">
        <v>45975</v>
      </c>
      <c r="K46" s="71" t="s">
        <v>431</v>
      </c>
      <c r="L46" s="15" t="str">
        <f t="shared" si="1"/>
        <v>07.11 -Ped 047750 -PRINCESA -TR PEÇA -R$49,74 -NF 352389</v>
      </c>
    </row>
    <row r="47" spans="1:12" ht="15" customHeight="1" x14ac:dyDescent="0.3">
      <c r="A47" s="4" t="s">
        <v>39</v>
      </c>
      <c r="B47" s="1" t="s">
        <v>48</v>
      </c>
      <c r="C47" s="16">
        <v>45968</v>
      </c>
      <c r="D47" s="72" t="s">
        <v>429</v>
      </c>
      <c r="E47" s="1" t="str">
        <f>_xlfn.XLOOKUP(F47,UTIL!Q:Q,UTIL!N:N,"-")</f>
        <v>080227796</v>
      </c>
      <c r="F47" s="15" t="s">
        <v>65</v>
      </c>
      <c r="G47" s="14">
        <v>46.32</v>
      </c>
      <c r="H47" s="4" t="s">
        <v>364</v>
      </c>
      <c r="I47" s="15">
        <v>355838</v>
      </c>
      <c r="J47" s="16">
        <v>45975</v>
      </c>
      <c r="K47" s="71" t="s">
        <v>431</v>
      </c>
      <c r="L47" s="15" t="str">
        <f t="shared" si="1"/>
        <v>07.11 -Ped 047750 -PRINCESA -TR PEÇA -R$46,32 -NF 355838</v>
      </c>
    </row>
    <row r="48" spans="1:12" ht="15" customHeight="1" x14ac:dyDescent="0.3">
      <c r="A48" s="4" t="s">
        <v>75</v>
      </c>
      <c r="B48" s="1" t="s">
        <v>48</v>
      </c>
      <c r="C48" s="16">
        <v>45968</v>
      </c>
      <c r="D48" s="1" t="s">
        <v>432</v>
      </c>
      <c r="E48" s="1" t="str">
        <f>_xlfn.XLOOKUP(F48,UTIL!Q:Q,UTIL!N:N,"-")</f>
        <v>010273940</v>
      </c>
      <c r="F48" s="15" t="s">
        <v>433</v>
      </c>
      <c r="G48" s="14">
        <v>2780</v>
      </c>
      <c r="H48" s="4" t="s">
        <v>364</v>
      </c>
      <c r="I48" s="15">
        <v>2708</v>
      </c>
      <c r="J48" s="16">
        <v>45972</v>
      </c>
      <c r="K48" s="71" t="s">
        <v>434</v>
      </c>
      <c r="L48" s="15" t="str">
        <f t="shared" si="1"/>
        <v>07.11 -Ped 047383 -SERIE4 - MT 1 -R$2780 -NF 2708</v>
      </c>
    </row>
    <row r="49" spans="1:12" ht="15" customHeight="1" x14ac:dyDescent="0.3">
      <c r="A49" s="4" t="s">
        <v>75</v>
      </c>
      <c r="B49" s="1" t="s">
        <v>48</v>
      </c>
      <c r="C49" s="16">
        <v>45968</v>
      </c>
      <c r="D49" s="1" t="s">
        <v>432</v>
      </c>
      <c r="E49" s="1" t="str">
        <f>_xlfn.XLOOKUP(F49,UTIL!Q:Q,UTIL!N:N,"-")</f>
        <v>010273940</v>
      </c>
      <c r="F49" s="15" t="s">
        <v>433</v>
      </c>
      <c r="G49" s="14">
        <v>840</v>
      </c>
      <c r="H49" s="4" t="s">
        <v>364</v>
      </c>
      <c r="I49" s="15">
        <v>2374</v>
      </c>
      <c r="J49" s="16">
        <v>45972</v>
      </c>
      <c r="K49" s="71" t="s">
        <v>435</v>
      </c>
      <c r="L49" s="15" t="str">
        <f t="shared" si="1"/>
        <v>07.11 -Ped 047383 -SERIE4 - MT 1 -R$840 -NF 2374</v>
      </c>
    </row>
    <row r="50" spans="1:12" ht="15" customHeight="1" x14ac:dyDescent="0.3">
      <c r="A50" s="4" t="s">
        <v>38</v>
      </c>
      <c r="B50" s="1" t="s">
        <v>51</v>
      </c>
      <c r="C50" s="16">
        <v>45971</v>
      </c>
      <c r="D50" s="72" t="s">
        <v>401</v>
      </c>
      <c r="E50" s="1" t="str">
        <f>_xlfn.XLOOKUP(F50,UTIL!Q:Q,UTIL!N:N,"-")</f>
        <v>051496564</v>
      </c>
      <c r="F50" s="15" t="s">
        <v>64</v>
      </c>
      <c r="G50" s="14">
        <v>250</v>
      </c>
      <c r="H50" s="4" t="s">
        <v>364</v>
      </c>
      <c r="I50" s="15">
        <v>420</v>
      </c>
      <c r="J50" s="16">
        <v>45973</v>
      </c>
      <c r="K50" s="71" t="s">
        <v>436</v>
      </c>
      <c r="L50" s="15" t="str">
        <f t="shared" si="1"/>
        <v>10.11 -Ped 047525 -MARCOS D. COURIER -R$250 -NF 420</v>
      </c>
    </row>
    <row r="51" spans="1:12" ht="15" customHeight="1" x14ac:dyDescent="0.3">
      <c r="A51" s="4" t="s">
        <v>38</v>
      </c>
      <c r="B51" s="1" t="s">
        <v>54</v>
      </c>
      <c r="C51" s="16">
        <v>45971</v>
      </c>
      <c r="D51" s="72" t="s">
        <v>437</v>
      </c>
      <c r="E51" s="1" t="str">
        <f>_xlfn.XLOOKUP(F51,UTIL!Q:Q,UTIL!N:N,"-")</f>
        <v>031370636</v>
      </c>
      <c r="F51" s="15" t="s">
        <v>68</v>
      </c>
      <c r="G51" s="14">
        <v>700</v>
      </c>
      <c r="H51" s="4" t="s">
        <v>364</v>
      </c>
      <c r="I51" s="15">
        <v>10</v>
      </c>
      <c r="J51" s="16">
        <v>45973</v>
      </c>
      <c r="K51" s="71"/>
      <c r="L51" s="15" t="str">
        <f t="shared" si="1"/>
        <v>10.11 -Ped 047550 -JORGE LUIZ 2 COURIER -R$700 -NF 10</v>
      </c>
    </row>
    <row r="52" spans="1:12" ht="15" customHeight="1" x14ac:dyDescent="0.3">
      <c r="A52" s="4" t="s">
        <v>39</v>
      </c>
      <c r="B52" s="1" t="s">
        <v>48</v>
      </c>
      <c r="C52" s="16">
        <v>45971</v>
      </c>
      <c r="D52" s="72" t="s">
        <v>438</v>
      </c>
      <c r="E52" s="1" t="str">
        <f>_xlfn.XLOOKUP(F52,UTIL!Q:Q,UTIL!N:N,"-")</f>
        <v>056953013</v>
      </c>
      <c r="F52" s="15" t="s">
        <v>60</v>
      </c>
      <c r="G52" s="14">
        <v>884.29</v>
      </c>
      <c r="H52" s="4" t="s">
        <v>364</v>
      </c>
      <c r="I52" s="15">
        <v>775</v>
      </c>
      <c r="J52" s="16">
        <v>45975</v>
      </c>
      <c r="K52" s="71" t="s">
        <v>439</v>
      </c>
      <c r="L52" s="15" t="str">
        <f t="shared" si="1"/>
        <v>10.11 -Ped 047757 -CARGADEDICADA -TR PEÇA -R$884,29 -NF 775</v>
      </c>
    </row>
    <row r="53" spans="1:12" ht="15" customHeight="1" x14ac:dyDescent="0.3">
      <c r="A53" s="4" t="s">
        <v>39</v>
      </c>
      <c r="B53" s="1" t="s">
        <v>48</v>
      </c>
      <c r="C53" s="16">
        <v>45971</v>
      </c>
      <c r="D53" s="72" t="s">
        <v>438</v>
      </c>
      <c r="E53" s="1" t="str">
        <f>_xlfn.XLOOKUP(F53,UTIL!Q:Q,UTIL!N:N,"-")</f>
        <v>056953013</v>
      </c>
      <c r="F53" s="15" t="s">
        <v>60</v>
      </c>
      <c r="G53" s="14">
        <v>884.29</v>
      </c>
      <c r="H53" s="4" t="s">
        <v>364</v>
      </c>
      <c r="I53" s="15">
        <v>776</v>
      </c>
      <c r="J53" s="16">
        <v>45975</v>
      </c>
      <c r="K53" s="71" t="s">
        <v>439</v>
      </c>
      <c r="L53" s="15" t="str">
        <f t="shared" si="1"/>
        <v>10.11 -Ped 047757 -CARGADEDICADA -TR PEÇA -R$884,29 -NF 776</v>
      </c>
    </row>
    <row r="54" spans="1:12" ht="15" customHeight="1" x14ac:dyDescent="0.3">
      <c r="A54" s="4" t="s">
        <v>39</v>
      </c>
      <c r="B54" s="1" t="s">
        <v>48</v>
      </c>
      <c r="C54" s="16">
        <v>45971</v>
      </c>
      <c r="D54" s="72" t="s">
        <v>438</v>
      </c>
      <c r="E54" s="1" t="str">
        <f>_xlfn.XLOOKUP(F54,UTIL!Q:Q,UTIL!N:N,"-")</f>
        <v>056953013</v>
      </c>
      <c r="F54" s="15" t="s">
        <v>60</v>
      </c>
      <c r="G54" s="14">
        <v>884.29</v>
      </c>
      <c r="H54" s="4" t="s">
        <v>364</v>
      </c>
      <c r="I54" s="15">
        <v>777</v>
      </c>
      <c r="J54" s="16">
        <v>45975</v>
      </c>
      <c r="K54" s="71" t="s">
        <v>439</v>
      </c>
      <c r="L54" s="15" t="str">
        <f t="shared" si="1"/>
        <v>10.11 -Ped 047757 -CARGADEDICADA -TR PEÇA -R$884,29 -NF 777</v>
      </c>
    </row>
    <row r="55" spans="1:12" ht="15" customHeight="1" x14ac:dyDescent="0.3">
      <c r="A55" s="4" t="s">
        <v>39</v>
      </c>
      <c r="B55" s="1" t="s">
        <v>48</v>
      </c>
      <c r="C55" s="16">
        <v>45971</v>
      </c>
      <c r="D55" s="72" t="s">
        <v>438</v>
      </c>
      <c r="E55" s="1" t="str">
        <f>_xlfn.XLOOKUP(F55,UTIL!Q:Q,UTIL!N:N,"-")</f>
        <v>056953013</v>
      </c>
      <c r="F55" s="15" t="s">
        <v>60</v>
      </c>
      <c r="G55" s="14">
        <v>884.29</v>
      </c>
      <c r="H55" s="4" t="s">
        <v>364</v>
      </c>
      <c r="I55" s="15">
        <v>778</v>
      </c>
      <c r="J55" s="16">
        <v>45975</v>
      </c>
      <c r="K55" s="71" t="s">
        <v>439</v>
      </c>
      <c r="L55" s="15" t="str">
        <f t="shared" si="1"/>
        <v>10.11 -Ped 047757 -CARGADEDICADA -TR PEÇA -R$884,29 -NF 778</v>
      </c>
    </row>
    <row r="56" spans="1:12" ht="15" customHeight="1" x14ac:dyDescent="0.3">
      <c r="A56" s="4" t="s">
        <v>39</v>
      </c>
      <c r="B56" s="1" t="s">
        <v>48</v>
      </c>
      <c r="C56" s="16">
        <v>45971</v>
      </c>
      <c r="D56" s="72" t="s">
        <v>438</v>
      </c>
      <c r="E56" s="1" t="str">
        <f>_xlfn.XLOOKUP(F56,UTIL!Q:Q,UTIL!N:N,"-")</f>
        <v>056953013</v>
      </c>
      <c r="F56" s="15" t="s">
        <v>60</v>
      </c>
      <c r="G56" s="14">
        <v>884.29</v>
      </c>
      <c r="H56" s="4" t="s">
        <v>364</v>
      </c>
      <c r="I56" s="15">
        <v>779</v>
      </c>
      <c r="J56" s="16">
        <v>45975</v>
      </c>
      <c r="K56" s="71" t="s">
        <v>439</v>
      </c>
      <c r="L56" s="15" t="str">
        <f t="shared" si="1"/>
        <v>10.11 -Ped 047757 -CARGADEDICADA -TR PEÇA -R$884,29 -NF 779</v>
      </c>
    </row>
    <row r="57" spans="1:12" ht="15" customHeight="1" x14ac:dyDescent="0.3">
      <c r="A57" s="4" t="s">
        <v>39</v>
      </c>
      <c r="B57" s="1" t="s">
        <v>48</v>
      </c>
      <c r="C57" s="16">
        <v>45971</v>
      </c>
      <c r="D57" s="72" t="s">
        <v>438</v>
      </c>
      <c r="E57" s="1" t="str">
        <f>_xlfn.XLOOKUP(F57,UTIL!Q:Q,UTIL!N:N,"-")</f>
        <v>056953013</v>
      </c>
      <c r="F57" s="15" t="s">
        <v>60</v>
      </c>
      <c r="G57" s="14">
        <v>884.29</v>
      </c>
      <c r="H57" s="4" t="s">
        <v>364</v>
      </c>
      <c r="I57" s="15">
        <v>781</v>
      </c>
      <c r="J57" s="16">
        <v>45975</v>
      </c>
      <c r="K57" s="71" t="s">
        <v>439</v>
      </c>
      <c r="L57" s="15" t="str">
        <f t="shared" si="1"/>
        <v>10.11 -Ped 047757 -CARGADEDICADA -TR PEÇA -R$884,29 -NF 781</v>
      </c>
    </row>
    <row r="58" spans="1:12" ht="15" customHeight="1" x14ac:dyDescent="0.3">
      <c r="A58" s="4" t="s">
        <v>39</v>
      </c>
      <c r="B58" s="1" t="s">
        <v>48</v>
      </c>
      <c r="C58" s="16">
        <v>45971</v>
      </c>
      <c r="D58" s="72" t="s">
        <v>438</v>
      </c>
      <c r="E58" s="1" t="str">
        <f>_xlfn.XLOOKUP(F58,UTIL!Q:Q,UTIL!N:N,"-")</f>
        <v>056953013</v>
      </c>
      <c r="F58" s="15" t="s">
        <v>60</v>
      </c>
      <c r="G58" s="14">
        <v>884.29</v>
      </c>
      <c r="H58" s="4" t="s">
        <v>364</v>
      </c>
      <c r="I58" s="15">
        <v>782</v>
      </c>
      <c r="J58" s="16">
        <v>45975</v>
      </c>
      <c r="K58" s="71" t="s">
        <v>439</v>
      </c>
      <c r="L58" s="15" t="str">
        <f t="shared" si="1"/>
        <v>10.11 -Ped 047757 -CARGADEDICADA -TR PEÇA -R$884,29 -NF 782</v>
      </c>
    </row>
    <row r="59" spans="1:12" ht="15" customHeight="1" x14ac:dyDescent="0.3">
      <c r="A59" s="4" t="s">
        <v>73</v>
      </c>
      <c r="B59" s="1" t="s">
        <v>48</v>
      </c>
      <c r="C59" s="16">
        <v>45971</v>
      </c>
      <c r="D59" s="1" t="s">
        <v>440</v>
      </c>
      <c r="E59" s="1" t="str">
        <f>_xlfn.XLOOKUP(F59,UTIL!Q:Q,UTIL!N:N,"-")</f>
        <v>076669324</v>
      </c>
      <c r="F59" s="15" t="s">
        <v>441</v>
      </c>
      <c r="G59" s="14">
        <v>133.13</v>
      </c>
      <c r="H59" s="4" t="s">
        <v>364</v>
      </c>
      <c r="I59" s="15" t="s">
        <v>405</v>
      </c>
      <c r="J59" s="16">
        <v>45964</v>
      </c>
      <c r="K59" s="71" t="s">
        <v>442</v>
      </c>
      <c r="L59" s="15" t="str">
        <f t="shared" si="1"/>
        <v>10.11 -Ped 047116 -DER - AET VEICULOS -R$133,13 -NF BOLETO</v>
      </c>
    </row>
    <row r="60" spans="1:12" ht="15" customHeight="1" x14ac:dyDescent="0.3">
      <c r="A60" s="4" t="s">
        <v>361</v>
      </c>
      <c r="B60" s="1" t="s">
        <v>51</v>
      </c>
      <c r="C60" s="16">
        <v>45972</v>
      </c>
      <c r="D60" s="72" t="s">
        <v>425</v>
      </c>
      <c r="E60" s="1" t="str">
        <f>_xlfn.XLOOKUP(F60,UTIL!Q:Q,UTIL!N:N,"-")</f>
        <v>018725298</v>
      </c>
      <c r="F60" s="15" t="s">
        <v>370</v>
      </c>
      <c r="G60" s="14">
        <v>1389</v>
      </c>
      <c r="H60" s="4" t="s">
        <v>364</v>
      </c>
      <c r="I60" s="15">
        <v>468</v>
      </c>
      <c r="J60" s="16">
        <v>45979</v>
      </c>
      <c r="K60" s="71" t="s">
        <v>443</v>
      </c>
      <c r="L60" s="15" t="str">
        <f t="shared" si="1"/>
        <v>11.11 -Ped 047806 -MAZETTO -TR MAQ -R$1389 -NF 468</v>
      </c>
    </row>
    <row r="61" spans="1:12" ht="15" customHeight="1" x14ac:dyDescent="0.3">
      <c r="A61" s="4" t="s">
        <v>38</v>
      </c>
      <c r="B61" s="1" t="s">
        <v>50</v>
      </c>
      <c r="C61" s="16">
        <v>45972</v>
      </c>
      <c r="D61" s="72" t="s">
        <v>444</v>
      </c>
      <c r="E61" s="1" t="str">
        <f>_xlfn.XLOOKUP(F61,UTIL!Q:Q,UTIL!N:N,"-")</f>
        <v>059376166</v>
      </c>
      <c r="F61" s="15" t="s">
        <v>62</v>
      </c>
      <c r="G61" s="14">
        <v>2390</v>
      </c>
      <c r="H61" s="4" t="s">
        <v>364</v>
      </c>
      <c r="I61" s="15">
        <v>155</v>
      </c>
      <c r="J61" s="16">
        <v>45974</v>
      </c>
      <c r="K61" s="71" t="s">
        <v>45</v>
      </c>
      <c r="L61" s="15" t="str">
        <f t="shared" si="1"/>
        <v>11.11 -Ped 047685 -JOSEAMILTON1 COURIER -R$2390 -NF 155</v>
      </c>
    </row>
    <row r="62" spans="1:12" ht="15" customHeight="1" x14ac:dyDescent="0.3">
      <c r="A62" s="4" t="s">
        <v>37</v>
      </c>
      <c r="B62" s="1" t="s">
        <v>49</v>
      </c>
      <c r="C62" s="16">
        <v>45972</v>
      </c>
      <c r="D62" s="72" t="s">
        <v>445</v>
      </c>
      <c r="E62" s="1" t="str">
        <f>_xlfn.XLOOKUP(F62,UTIL!Q:Q,UTIL!N:N,"-")</f>
        <v>030877442</v>
      </c>
      <c r="F62" s="15" t="s">
        <v>446</v>
      </c>
      <c r="G62" s="14">
        <v>1262</v>
      </c>
      <c r="H62" s="4" t="s">
        <v>364</v>
      </c>
      <c r="K62" s="71" t="s">
        <v>447</v>
      </c>
      <c r="L62" s="15" t="str">
        <f t="shared" si="1"/>
        <v>11.11 -Ped 047573 -MUNCK IRATI -TR MAQ -R$1262</v>
      </c>
    </row>
    <row r="63" spans="1:12" ht="15" customHeight="1" x14ac:dyDescent="0.3">
      <c r="A63" s="4" t="s">
        <v>38</v>
      </c>
      <c r="B63" s="1" t="s">
        <v>52</v>
      </c>
      <c r="C63" s="16">
        <v>45973</v>
      </c>
      <c r="D63" s="72" t="s">
        <v>448</v>
      </c>
      <c r="E63" s="1" t="str">
        <f>_xlfn.XLOOKUP(F63,UTIL!Q:Q,UTIL!N:N,"-")</f>
        <v>061196032</v>
      </c>
      <c r="F63" s="15" t="s">
        <v>69</v>
      </c>
      <c r="G63" s="14">
        <v>70</v>
      </c>
      <c r="H63" s="4" t="s">
        <v>364</v>
      </c>
      <c r="I63" s="15">
        <v>54</v>
      </c>
      <c r="J63" s="16">
        <v>45975</v>
      </c>
      <c r="K63" s="71" t="s">
        <v>45</v>
      </c>
      <c r="L63" s="15" t="str">
        <f t="shared" si="1"/>
        <v>12.11 -Ped 047687 -ANDREIA R. COURIER -R$70 -NF 54</v>
      </c>
    </row>
    <row r="64" spans="1:12" ht="15" customHeight="1" x14ac:dyDescent="0.3">
      <c r="A64" s="4" t="s">
        <v>37</v>
      </c>
      <c r="B64" s="1" t="s">
        <v>48</v>
      </c>
      <c r="C64" s="16">
        <v>45973</v>
      </c>
      <c r="D64" s="72" t="s">
        <v>449</v>
      </c>
      <c r="E64" s="1" t="str">
        <f>_xlfn.XLOOKUP(F64,UTIL!Q:Q,UTIL!N:N,"-")</f>
        <v>000495608</v>
      </c>
      <c r="F64" s="15" t="s">
        <v>450</v>
      </c>
      <c r="G64" s="14">
        <v>440</v>
      </c>
      <c r="H64" s="4" t="s">
        <v>364</v>
      </c>
      <c r="I64" s="15">
        <v>5331</v>
      </c>
      <c r="J64" s="16">
        <v>45979</v>
      </c>
      <c r="K64" s="71" t="s">
        <v>451</v>
      </c>
      <c r="L64" s="15" t="str">
        <f t="shared" si="1"/>
        <v>12.11 -Ped 047801 -MONTPAR GUINDASTES -R$440 -NF 5331</v>
      </c>
    </row>
    <row r="65" spans="1:12" ht="15" customHeight="1" x14ac:dyDescent="0.3">
      <c r="A65" s="4" t="s">
        <v>361</v>
      </c>
      <c r="B65" s="1" t="s">
        <v>47</v>
      </c>
      <c r="C65" s="16">
        <v>45974</v>
      </c>
      <c r="D65" s="72" t="s">
        <v>452</v>
      </c>
      <c r="E65" s="1" t="str">
        <f>_xlfn.XLOOKUP(F65,UTIL!Q:Q,UTIL!N:N,"-")</f>
        <v>019320206</v>
      </c>
      <c r="F65" s="15" t="s">
        <v>453</v>
      </c>
      <c r="G65" s="14">
        <v>1000</v>
      </c>
      <c r="H65" s="4" t="s">
        <v>364</v>
      </c>
      <c r="K65" s="71" t="s">
        <v>454</v>
      </c>
      <c r="L65" s="15" t="str">
        <f t="shared" si="1"/>
        <v>13.11 -Ped 047572 -AGROMAQ -TR MAQ -R$1000</v>
      </c>
    </row>
    <row r="66" spans="1:12" ht="15" customHeight="1" x14ac:dyDescent="0.3">
      <c r="A66" s="4" t="s">
        <v>37</v>
      </c>
      <c r="B66" s="1" t="s">
        <v>51</v>
      </c>
      <c r="C66" s="16">
        <v>45974</v>
      </c>
      <c r="D66" s="72" t="s">
        <v>455</v>
      </c>
      <c r="E66" s="1" t="str">
        <f>_xlfn.XLOOKUP(F66,UTIL!Q:Q,UTIL!N:N,"-")</f>
        <v>061028125</v>
      </c>
      <c r="F66" s="15" t="s">
        <v>456</v>
      </c>
      <c r="G66" s="14">
        <v>270</v>
      </c>
      <c r="H66" s="4" t="s">
        <v>364</v>
      </c>
      <c r="K66" s="71" t="s">
        <v>457</v>
      </c>
      <c r="L66" s="15" t="str">
        <f t="shared" ref="L66:L102" si="2">TEXT($C66,"dd.mm") &amp; " -Ped " &amp; D66 &amp; " -" &amp; F66 &amp; " -R$" &amp; G66 &amp; IF(LEN(TRIM(I66))=0, "", " -NF " &amp; TRIM(I66))</f>
        <v>13.11 -Ped 047758 -INCOMESPMUNCK -TR MAQ -R$270</v>
      </c>
    </row>
    <row r="67" spans="1:12" ht="15" customHeight="1" x14ac:dyDescent="0.3">
      <c r="A67" s="4" t="s">
        <v>58</v>
      </c>
      <c r="B67" s="1" t="s">
        <v>48</v>
      </c>
      <c r="C67" s="16">
        <v>45975</v>
      </c>
      <c r="D67" s="72" t="s">
        <v>458</v>
      </c>
      <c r="E67" s="1" t="str">
        <f>_xlfn.XLOOKUP(F67,UTIL!Q:Q,UTIL!N:N,"-")</f>
        <v>024586837</v>
      </c>
      <c r="F67" s="15" t="s">
        <v>459</v>
      </c>
      <c r="G67" s="14">
        <v>4175</v>
      </c>
      <c r="H67" s="4" t="s">
        <v>359</v>
      </c>
      <c r="K67" s="71" t="s">
        <v>460</v>
      </c>
      <c r="L67" s="15" t="str">
        <f t="shared" si="2"/>
        <v>14.11 -Ped 047732 -SUL LONAS - MT -R$4175</v>
      </c>
    </row>
    <row r="68" spans="1:12" ht="15" customHeight="1" x14ac:dyDescent="0.3">
      <c r="A68" s="4" t="s">
        <v>461</v>
      </c>
      <c r="B68" s="1" t="s">
        <v>47</v>
      </c>
      <c r="C68" s="16">
        <v>45975</v>
      </c>
      <c r="D68" s="72" t="s">
        <v>462</v>
      </c>
      <c r="E68" s="1" t="str">
        <f>_xlfn.XLOOKUP(F68,UTIL!Q:Q,UTIL!N:N,"-")</f>
        <v>019320206</v>
      </c>
      <c r="F68" s="15" t="s">
        <v>453</v>
      </c>
      <c r="G68" s="14">
        <v>300</v>
      </c>
      <c r="H68" s="4" t="s">
        <v>364</v>
      </c>
      <c r="K68" s="71"/>
      <c r="L68" s="15" t="str">
        <f t="shared" si="2"/>
        <v>14.11 -Ped 047752 -AGROMAQ -TR MAQ -R$300</v>
      </c>
    </row>
    <row r="69" spans="1:12" ht="15" customHeight="1" x14ac:dyDescent="0.3">
      <c r="A69" s="4" t="s">
        <v>461</v>
      </c>
      <c r="B69" s="1" t="s">
        <v>47</v>
      </c>
      <c r="C69" s="16">
        <v>45975</v>
      </c>
      <c r="D69" s="72" t="s">
        <v>462</v>
      </c>
      <c r="E69" s="1" t="str">
        <f>_xlfn.XLOOKUP(F69,UTIL!Q:Q,UTIL!N:N,"-")</f>
        <v>019320206</v>
      </c>
      <c r="F69" s="15" t="s">
        <v>453</v>
      </c>
      <c r="G69" s="14">
        <v>300</v>
      </c>
      <c r="H69" s="4" t="s">
        <v>364</v>
      </c>
      <c r="K69" s="71"/>
      <c r="L69" s="15" t="str">
        <f t="shared" si="2"/>
        <v>14.11 -Ped 047752 -AGROMAQ -TR MAQ -R$300</v>
      </c>
    </row>
    <row r="70" spans="1:12" ht="15" customHeight="1" x14ac:dyDescent="0.3">
      <c r="A70" s="4" t="s">
        <v>368</v>
      </c>
      <c r="B70" s="1" t="s">
        <v>47</v>
      </c>
      <c r="C70" s="16">
        <v>45975</v>
      </c>
      <c r="D70" s="72" t="s">
        <v>462</v>
      </c>
      <c r="E70" s="1" t="str">
        <f>_xlfn.XLOOKUP(F70,UTIL!Q:Q,UTIL!N:N,"-")</f>
        <v>019320206</v>
      </c>
      <c r="F70" s="15" t="s">
        <v>453</v>
      </c>
      <c r="G70" s="14">
        <v>800</v>
      </c>
      <c r="H70" s="4" t="s">
        <v>364</v>
      </c>
      <c r="K70" s="71"/>
      <c r="L70" s="15" t="str">
        <f t="shared" si="2"/>
        <v>14.11 -Ped 047752 -AGROMAQ -TR MAQ -R$800</v>
      </c>
    </row>
    <row r="71" spans="1:12" ht="15" customHeight="1" x14ac:dyDescent="0.3">
      <c r="A71" s="4" t="s">
        <v>368</v>
      </c>
      <c r="B71" s="1" t="s">
        <v>47</v>
      </c>
      <c r="C71" s="16">
        <v>45975</v>
      </c>
      <c r="D71" s="72" t="s">
        <v>462</v>
      </c>
      <c r="E71" s="1" t="str">
        <f>_xlfn.XLOOKUP(F71,UTIL!Q:Q,UTIL!N:N,"-")</f>
        <v>019320206</v>
      </c>
      <c r="F71" s="15" t="s">
        <v>453</v>
      </c>
      <c r="G71" s="14">
        <v>800</v>
      </c>
      <c r="H71" s="4" t="s">
        <v>364</v>
      </c>
      <c r="K71" s="71"/>
      <c r="L71" s="15" t="str">
        <f t="shared" si="2"/>
        <v>14.11 -Ped 047752 -AGROMAQ -TR MAQ -R$800</v>
      </c>
    </row>
    <row r="72" spans="1:12" ht="15" customHeight="1" x14ac:dyDescent="0.3">
      <c r="A72" s="4" t="s">
        <v>368</v>
      </c>
      <c r="B72" s="1" t="s">
        <v>47</v>
      </c>
      <c r="C72" s="16">
        <v>45975</v>
      </c>
      <c r="D72" s="72" t="s">
        <v>463</v>
      </c>
      <c r="E72" s="1" t="str">
        <f>_xlfn.XLOOKUP(F72,UTIL!Q:Q,UTIL!N:N,"-")</f>
        <v>032603119</v>
      </c>
      <c r="F72" s="15" t="s">
        <v>464</v>
      </c>
      <c r="G72" s="14">
        <v>3800</v>
      </c>
      <c r="H72" s="4" t="s">
        <v>364</v>
      </c>
      <c r="K72" s="71"/>
      <c r="L72" s="15" t="str">
        <f t="shared" si="2"/>
        <v>14.11 -Ped 047802 -ZORTEA -TR MAQ -R$3800</v>
      </c>
    </row>
    <row r="73" spans="1:12" ht="15" customHeight="1" x14ac:dyDescent="0.3">
      <c r="A73" s="4" t="s">
        <v>368</v>
      </c>
      <c r="B73" s="1" t="s">
        <v>47</v>
      </c>
      <c r="C73" s="16">
        <v>45975</v>
      </c>
      <c r="D73" s="72" t="s">
        <v>465</v>
      </c>
      <c r="E73" s="1" t="str">
        <f>_xlfn.XLOOKUP(F73,UTIL!Q:Q,UTIL!N:N,"-")</f>
        <v>061259226</v>
      </c>
      <c r="F73" s="15" t="s">
        <v>466</v>
      </c>
      <c r="G73" s="14">
        <v>6740</v>
      </c>
      <c r="H73" s="4" t="s">
        <v>359</v>
      </c>
      <c r="K73" s="71" t="s">
        <v>467</v>
      </c>
      <c r="L73" s="15" t="str">
        <f t="shared" si="2"/>
        <v>14.11 -Ped 047872 -JAPA MARRERO -TR MAQ -R$6740</v>
      </c>
    </row>
    <row r="74" spans="1:12" ht="15" customHeight="1" x14ac:dyDescent="0.3">
      <c r="A74" s="4" t="s">
        <v>372</v>
      </c>
      <c r="B74" s="1" t="s">
        <v>47</v>
      </c>
      <c r="C74" s="16">
        <v>45975</v>
      </c>
      <c r="D74" s="72" t="s">
        <v>462</v>
      </c>
      <c r="E74" s="1" t="str">
        <f>_xlfn.XLOOKUP(F74,UTIL!Q:Q,UTIL!N:N,"-")</f>
        <v>019320206</v>
      </c>
      <c r="F74" s="15" t="s">
        <v>453</v>
      </c>
      <c r="G74" s="14">
        <v>400</v>
      </c>
      <c r="H74" s="4" t="s">
        <v>364</v>
      </c>
      <c r="K74" s="71"/>
      <c r="L74" s="15" t="str">
        <f t="shared" si="2"/>
        <v>14.11 -Ped 047752 -AGROMAQ -TR MAQ -R$400</v>
      </c>
    </row>
    <row r="75" spans="1:12" ht="15" customHeight="1" x14ac:dyDescent="0.3">
      <c r="A75" s="4" t="s">
        <v>372</v>
      </c>
      <c r="B75" s="1" t="s">
        <v>47</v>
      </c>
      <c r="C75" s="16">
        <v>45975</v>
      </c>
      <c r="D75" s="72" t="s">
        <v>462</v>
      </c>
      <c r="E75" s="1" t="str">
        <f>_xlfn.XLOOKUP(F75,UTIL!Q:Q,UTIL!N:N,"-")</f>
        <v>019320206</v>
      </c>
      <c r="F75" s="15" t="s">
        <v>453</v>
      </c>
      <c r="G75" s="14">
        <v>400</v>
      </c>
      <c r="H75" s="4" t="s">
        <v>364</v>
      </c>
      <c r="K75" s="71"/>
      <c r="L75" s="15" t="str">
        <f t="shared" si="2"/>
        <v>14.11 -Ped 047752 -AGROMAQ -TR MAQ -R$400</v>
      </c>
    </row>
    <row r="76" spans="1:12" ht="15" customHeight="1" x14ac:dyDescent="0.3">
      <c r="A76" s="4" t="s">
        <v>372</v>
      </c>
      <c r="B76" s="1" t="s">
        <v>47</v>
      </c>
      <c r="C76" s="16">
        <v>45975</v>
      </c>
      <c r="D76" s="72" t="s">
        <v>463</v>
      </c>
      <c r="E76" s="1" t="str">
        <f>_xlfn.XLOOKUP(F76,UTIL!Q:Q,UTIL!N:N,"-")</f>
        <v>032603119</v>
      </c>
      <c r="F76" s="15" t="s">
        <v>464</v>
      </c>
      <c r="G76" s="14">
        <v>1600</v>
      </c>
      <c r="H76" s="4" t="s">
        <v>364</v>
      </c>
      <c r="K76" s="71"/>
      <c r="L76" s="15" t="str">
        <f t="shared" si="2"/>
        <v>14.11 -Ped 047802 -ZORTEA -TR MAQ -R$1600</v>
      </c>
    </row>
    <row r="77" spans="1:12" ht="15" customHeight="1" x14ac:dyDescent="0.3">
      <c r="A77" s="4" t="s">
        <v>361</v>
      </c>
      <c r="B77" s="1" t="s">
        <v>50</v>
      </c>
      <c r="C77" s="16">
        <v>45975</v>
      </c>
      <c r="D77" s="72" t="s">
        <v>468</v>
      </c>
      <c r="E77" s="1" t="str">
        <f>_xlfn.XLOOKUP(F77,UTIL!Q:Q,UTIL!N:N,"-")</f>
        <v>018725298</v>
      </c>
      <c r="F77" s="15" t="s">
        <v>370</v>
      </c>
      <c r="G77" s="14">
        <v>3662.3</v>
      </c>
      <c r="H77" s="4" t="s">
        <v>364</v>
      </c>
      <c r="I77" s="15">
        <v>469</v>
      </c>
      <c r="J77" s="16">
        <v>45979</v>
      </c>
      <c r="K77" s="71" t="s">
        <v>469</v>
      </c>
      <c r="L77" s="15" t="str">
        <f t="shared" si="2"/>
        <v>14.11 -Ped 047804 -MAZETTO -TR MAQ -R$3662,3 -NF 469</v>
      </c>
    </row>
    <row r="78" spans="1:12" ht="15" customHeight="1" x14ac:dyDescent="0.3">
      <c r="A78" s="4" t="s">
        <v>361</v>
      </c>
      <c r="B78" s="1" t="s">
        <v>49</v>
      </c>
      <c r="C78" s="16">
        <v>45975</v>
      </c>
      <c r="D78" s="72" t="s">
        <v>470</v>
      </c>
      <c r="E78" s="1" t="str">
        <f>_xlfn.XLOOKUP(F78,UTIL!Q:Q,UTIL!N:N,"-")</f>
        <v>046304055</v>
      </c>
      <c r="F78" s="15" t="s">
        <v>363</v>
      </c>
      <c r="G78" s="14">
        <v>300</v>
      </c>
      <c r="H78" s="4" t="s">
        <v>359</v>
      </c>
      <c r="K78" s="71"/>
      <c r="L78" s="15" t="str">
        <f t="shared" si="2"/>
        <v>14.11 -Ped 047892 -GRICZYNSKI -TR MAQ -R$300</v>
      </c>
    </row>
    <row r="79" spans="1:12" ht="15" customHeight="1" x14ac:dyDescent="0.3">
      <c r="A79" s="4" t="s">
        <v>361</v>
      </c>
      <c r="B79" s="1" t="s">
        <v>49</v>
      </c>
      <c r="C79" s="16">
        <v>45975</v>
      </c>
      <c r="D79" s="72" t="s">
        <v>470</v>
      </c>
      <c r="E79" s="1" t="str">
        <f>_xlfn.XLOOKUP(F79,UTIL!Q:Q,UTIL!N:N,"-")</f>
        <v>046304055</v>
      </c>
      <c r="F79" s="15" t="s">
        <v>363</v>
      </c>
      <c r="G79" s="14">
        <v>450</v>
      </c>
      <c r="H79" s="4" t="s">
        <v>359</v>
      </c>
      <c r="K79" s="71"/>
      <c r="L79" s="15" t="str">
        <f t="shared" si="2"/>
        <v>14.11 -Ped 047892 -GRICZYNSKI -TR MAQ -R$450</v>
      </c>
    </row>
    <row r="80" spans="1:12" ht="15" customHeight="1" x14ac:dyDescent="0.3">
      <c r="A80" s="4" t="s">
        <v>361</v>
      </c>
      <c r="B80" s="1" t="s">
        <v>54</v>
      </c>
      <c r="C80" s="16">
        <v>45975</v>
      </c>
      <c r="D80" s="72" t="s">
        <v>471</v>
      </c>
      <c r="E80" s="1" t="str">
        <f>_xlfn.XLOOKUP(F80,UTIL!Q:Q,UTIL!N:N,"-")</f>
        <v>046304055</v>
      </c>
      <c r="F80" s="15" t="s">
        <v>363</v>
      </c>
      <c r="G80" s="14">
        <v>430</v>
      </c>
      <c r="H80" s="4" t="s">
        <v>359</v>
      </c>
      <c r="K80" s="71"/>
      <c r="L80" s="15" t="str">
        <f t="shared" si="2"/>
        <v>14.11 -Ped 047893 -GRICZYNSKI -TR MAQ -R$430</v>
      </c>
    </row>
    <row r="81" spans="1:12" ht="15" customHeight="1" x14ac:dyDescent="0.3">
      <c r="A81" s="4" t="s">
        <v>37</v>
      </c>
      <c r="B81" s="1" t="s">
        <v>47</v>
      </c>
      <c r="C81" s="16">
        <v>45975</v>
      </c>
      <c r="D81" s="72" t="s">
        <v>472</v>
      </c>
      <c r="E81" s="1" t="str">
        <f>_xlfn.XLOOKUP(F81,UTIL!Q:Q,UTIL!N:N,"-")</f>
        <v>006914002</v>
      </c>
      <c r="F81" s="15" t="s">
        <v>366</v>
      </c>
      <c r="G81" s="14">
        <v>800</v>
      </c>
      <c r="H81" s="4" t="s">
        <v>364</v>
      </c>
      <c r="I81" s="15">
        <v>190</v>
      </c>
      <c r="J81" s="16">
        <v>45975</v>
      </c>
      <c r="K81" s="71" t="s">
        <v>473</v>
      </c>
      <c r="L81" s="15" t="str">
        <f t="shared" si="2"/>
        <v>14.11 -Ped 047738 -TRANSCAPITINGA-TR MAQ -R$800 -NF 190</v>
      </c>
    </row>
    <row r="82" spans="1:12" ht="15" customHeight="1" x14ac:dyDescent="0.3">
      <c r="A82" s="4" t="s">
        <v>72</v>
      </c>
      <c r="B82" s="1" t="s">
        <v>48</v>
      </c>
      <c r="C82" s="16">
        <v>45975</v>
      </c>
      <c r="D82" s="72" t="s">
        <v>474</v>
      </c>
      <c r="E82" s="1" t="str">
        <f>_xlfn.XLOOKUP(F82,UTIL!Q:Q,UTIL!N:N,"-")</f>
        <v>037969440</v>
      </c>
      <c r="F82" s="15" t="s">
        <v>475</v>
      </c>
      <c r="G82" s="14">
        <v>800.04</v>
      </c>
      <c r="H82" s="4" t="s">
        <v>364</v>
      </c>
      <c r="K82" s="71" t="s">
        <v>476</v>
      </c>
      <c r="L82" s="15" t="str">
        <f t="shared" si="2"/>
        <v>14.11 -Ped 047733 -MEGA TRUCK ACESSORIOS - MT -R$800,04</v>
      </c>
    </row>
    <row r="83" spans="1:12" ht="15" customHeight="1" x14ac:dyDescent="0.3">
      <c r="A83" s="4" t="s">
        <v>75</v>
      </c>
      <c r="B83" s="1" t="s">
        <v>48</v>
      </c>
      <c r="C83" s="16">
        <v>45975</v>
      </c>
      <c r="D83" s="72" t="s">
        <v>477</v>
      </c>
      <c r="E83" s="1" t="str">
        <f>_xlfn.XLOOKUP(F83,UTIL!Q:Q,UTIL!N:N,"-")</f>
        <v>010273940</v>
      </c>
      <c r="F83" s="15" t="s">
        <v>433</v>
      </c>
      <c r="G83" s="14">
        <v>216</v>
      </c>
      <c r="H83" s="4" t="s">
        <v>364</v>
      </c>
      <c r="K83" s="71" t="s">
        <v>478</v>
      </c>
      <c r="L83" s="15" t="str">
        <f t="shared" si="2"/>
        <v>14.11 -Ped 047800 -SERIE4 - MT 1 -R$216</v>
      </c>
    </row>
    <row r="84" spans="1:12" ht="15" customHeight="1" x14ac:dyDescent="0.3">
      <c r="A84" s="4" t="s">
        <v>75</v>
      </c>
      <c r="B84" s="1" t="s">
        <v>48</v>
      </c>
      <c r="C84" s="16">
        <v>45975</v>
      </c>
      <c r="D84" s="72" t="s">
        <v>477</v>
      </c>
      <c r="E84" s="1" t="str">
        <f>_xlfn.XLOOKUP(F84,UTIL!Q:Q,UTIL!N:N,"-")</f>
        <v>010273940</v>
      </c>
      <c r="F84" s="15" t="s">
        <v>433</v>
      </c>
      <c r="G84" s="14">
        <v>120</v>
      </c>
      <c r="H84" s="4" t="s">
        <v>364</v>
      </c>
      <c r="K84" s="71" t="s">
        <v>479</v>
      </c>
      <c r="L84" s="15" t="str">
        <f t="shared" si="2"/>
        <v>14.11 -Ped 047800 -SERIE4 - MT 1 -R$120</v>
      </c>
    </row>
    <row r="85" spans="1:12" ht="15" customHeight="1" x14ac:dyDescent="0.3">
      <c r="A85" s="4" t="s">
        <v>480</v>
      </c>
      <c r="B85" s="1" t="s">
        <v>51</v>
      </c>
      <c r="C85" s="16">
        <v>45978</v>
      </c>
      <c r="D85" s="72" t="s">
        <v>481</v>
      </c>
      <c r="E85" s="1" t="str">
        <f>_xlfn.XLOOKUP(F85,UTIL!Q:Q,UTIL!N:N,"-")</f>
        <v>006233947</v>
      </c>
      <c r="F85" s="15" t="s">
        <v>482</v>
      </c>
      <c r="G85" s="14">
        <v>9600</v>
      </c>
      <c r="H85" s="4" t="s">
        <v>359</v>
      </c>
      <c r="K85" s="71"/>
      <c r="L85" s="15" t="str">
        <f t="shared" si="2"/>
        <v>17.11 -Ped 047803 -LUG -TR MAQ -R$9600</v>
      </c>
    </row>
    <row r="86" spans="1:12" ht="15" customHeight="1" x14ac:dyDescent="0.3">
      <c r="A86" s="4" t="s">
        <v>361</v>
      </c>
      <c r="B86" s="1" t="s">
        <v>47</v>
      </c>
      <c r="C86" s="16">
        <v>45978</v>
      </c>
      <c r="D86" s="72" t="s">
        <v>465</v>
      </c>
      <c r="E86" s="1" t="str">
        <f>_xlfn.XLOOKUP(F86,UTIL!Q:Q,UTIL!N:N,"-")</f>
        <v>061259226</v>
      </c>
      <c r="F86" s="15" t="s">
        <v>466</v>
      </c>
      <c r="G86" s="14">
        <v>1328</v>
      </c>
      <c r="H86" s="4" t="s">
        <v>359</v>
      </c>
      <c r="K86" s="71" t="s">
        <v>483</v>
      </c>
      <c r="L86" s="15" t="str">
        <f t="shared" si="2"/>
        <v>17.11 -Ped 047872 -JAPA MARRERO -TR MAQ -R$1328</v>
      </c>
    </row>
    <row r="87" spans="1:12" ht="15" customHeight="1" x14ac:dyDescent="0.3">
      <c r="A87" s="4" t="s">
        <v>38</v>
      </c>
      <c r="B87" s="1" t="s">
        <v>48</v>
      </c>
      <c r="C87" s="16">
        <v>45978</v>
      </c>
      <c r="D87" s="72" t="s">
        <v>484</v>
      </c>
      <c r="E87" s="1" t="str">
        <f>_xlfn.XLOOKUP(F87,UTIL!Q:Q,UTIL!N:N,"-")</f>
        <v>051496564</v>
      </c>
      <c r="F87" s="15" t="s">
        <v>64</v>
      </c>
      <c r="G87" s="14">
        <v>200</v>
      </c>
      <c r="H87" s="4" t="s">
        <v>364</v>
      </c>
      <c r="K87" s="71"/>
      <c r="L87" s="15" t="str">
        <f t="shared" si="2"/>
        <v>17.11 -Ped 047871 -MARCOS D. COURIER -R$200</v>
      </c>
    </row>
    <row r="88" spans="1:12" ht="15" customHeight="1" x14ac:dyDescent="0.3">
      <c r="A88" s="4" t="s">
        <v>37</v>
      </c>
      <c r="B88" s="1" t="s">
        <v>47</v>
      </c>
      <c r="C88" s="16">
        <v>45978</v>
      </c>
      <c r="D88" s="72" t="s">
        <v>485</v>
      </c>
      <c r="E88" s="1" t="str">
        <f>_xlfn.XLOOKUP(F88,UTIL!Q:Q,UTIL!N:N,"-")</f>
        <v>033254429</v>
      </c>
      <c r="F88" s="15" t="s">
        <v>486</v>
      </c>
      <c r="G88" s="14">
        <v>945</v>
      </c>
      <c r="H88" s="4" t="s">
        <v>359</v>
      </c>
      <c r="K88" s="71" t="s">
        <v>487</v>
      </c>
      <c r="L88" s="15" t="str">
        <f t="shared" si="2"/>
        <v>17.11 -Ped 047873 -MULTISOLDAS E MUNCK -R$945</v>
      </c>
    </row>
    <row r="89" spans="1:12" ht="15" customHeight="1" x14ac:dyDescent="0.3">
      <c r="A89" s="4" t="s">
        <v>368</v>
      </c>
      <c r="B89" s="1" t="s">
        <v>47</v>
      </c>
      <c r="C89" s="16">
        <v>45979</v>
      </c>
      <c r="D89" s="72" t="s">
        <v>488</v>
      </c>
      <c r="E89" s="1" t="str">
        <f>_xlfn.XLOOKUP(F89,UTIL!Q:Q,UTIL!N:N,"-")</f>
        <v>019320206</v>
      </c>
      <c r="F89" s="15" t="s">
        <v>453</v>
      </c>
      <c r="G89" s="14">
        <v>900</v>
      </c>
      <c r="H89" s="4" t="s">
        <v>359</v>
      </c>
      <c r="K89" s="71"/>
      <c r="L89" s="15" t="str">
        <f t="shared" si="2"/>
        <v>18.11 -Ped 047895 -AGROMAQ -TR MAQ -R$900</v>
      </c>
    </row>
    <row r="90" spans="1:12" ht="15" customHeight="1" x14ac:dyDescent="0.3">
      <c r="A90" s="4" t="s">
        <v>489</v>
      </c>
      <c r="B90" s="1" t="s">
        <v>47</v>
      </c>
      <c r="C90" s="16">
        <v>45979</v>
      </c>
      <c r="D90" s="72" t="s">
        <v>490</v>
      </c>
      <c r="E90" s="1" t="str">
        <f>_xlfn.XLOOKUP(F90,UTIL!Q:Q,UTIL!N:N,"-")</f>
        <v>019320206</v>
      </c>
      <c r="F90" s="15" t="s">
        <v>453</v>
      </c>
      <c r="G90" s="14">
        <v>2000</v>
      </c>
      <c r="H90" s="4" t="s">
        <v>359</v>
      </c>
      <c r="K90" s="71"/>
      <c r="L90" s="15" t="str">
        <f t="shared" si="2"/>
        <v>18.11 -Ped 047897 -AGROMAQ -TR MAQ -R$2000</v>
      </c>
    </row>
    <row r="91" spans="1:12" ht="15" customHeight="1" x14ac:dyDescent="0.3">
      <c r="A91" s="4" t="s">
        <v>372</v>
      </c>
      <c r="B91" s="1" t="s">
        <v>47</v>
      </c>
      <c r="C91" s="16">
        <v>45979</v>
      </c>
      <c r="D91" s="72" t="s">
        <v>488</v>
      </c>
      <c r="E91" s="1" t="str">
        <f>_xlfn.XLOOKUP(F91,UTIL!Q:Q,UTIL!N:N,"-")</f>
        <v>019320206</v>
      </c>
      <c r="F91" s="15" t="s">
        <v>453</v>
      </c>
      <c r="G91" s="14">
        <v>300</v>
      </c>
      <c r="H91" s="4" t="s">
        <v>359</v>
      </c>
      <c r="K91" s="71"/>
      <c r="L91" s="15" t="str">
        <f t="shared" si="2"/>
        <v>18.11 -Ped 047895 -AGROMAQ -TR MAQ -R$300</v>
      </c>
    </row>
    <row r="92" spans="1:12" ht="15" customHeight="1" x14ac:dyDescent="0.3">
      <c r="A92" s="4" t="s">
        <v>361</v>
      </c>
      <c r="B92" s="1" t="s">
        <v>54</v>
      </c>
      <c r="C92" s="16">
        <v>45980</v>
      </c>
      <c r="D92" s="72" t="s">
        <v>471</v>
      </c>
      <c r="E92" s="1" t="str">
        <f>_xlfn.XLOOKUP(F92,UTIL!Q:Q,UTIL!N:N,"-")</f>
        <v>046304055</v>
      </c>
      <c r="F92" s="15" t="s">
        <v>363</v>
      </c>
      <c r="G92" s="14">
        <v>550</v>
      </c>
      <c r="H92" s="4" t="s">
        <v>359</v>
      </c>
      <c r="K92" s="71"/>
      <c r="L92" s="15" t="str">
        <f t="shared" si="2"/>
        <v>19.11 -Ped 047893 -GRICZYNSKI -TR MAQ -R$550</v>
      </c>
    </row>
    <row r="93" spans="1:12" ht="15" customHeight="1" x14ac:dyDescent="0.3">
      <c r="A93" s="4"/>
      <c r="E93" s="1" t="str">
        <f>_xlfn.XLOOKUP(F93,UTIL!Q:Q,UTIL!N:N,"-")</f>
        <v>0</v>
      </c>
      <c r="H93" s="4"/>
      <c r="K93" s="71"/>
      <c r="L93" s="15" t="str">
        <f t="shared" si="2"/>
        <v>00.01 -Ped  - -R$</v>
      </c>
    </row>
    <row r="94" spans="1:12" ht="15" customHeight="1" x14ac:dyDescent="0.3">
      <c r="A94" s="4"/>
      <c r="E94" s="1" t="str">
        <f>_xlfn.XLOOKUP(F94,UTIL!Q:Q,UTIL!N:N,"-")</f>
        <v>0</v>
      </c>
      <c r="H94" s="4"/>
      <c r="K94" s="71"/>
      <c r="L94" s="15" t="str">
        <f t="shared" si="2"/>
        <v>00.01 -Ped  - -R$</v>
      </c>
    </row>
    <row r="95" spans="1:12" ht="15" customHeight="1" x14ac:dyDescent="0.3">
      <c r="A95" s="4"/>
      <c r="E95" s="1" t="str">
        <f>_xlfn.XLOOKUP(F95,UTIL!Q:Q,UTIL!N:N,"-")</f>
        <v>0</v>
      </c>
      <c r="H95" s="4"/>
      <c r="K95" s="71"/>
      <c r="L95" s="15" t="str">
        <f t="shared" si="2"/>
        <v>00.01 -Ped  - -R$</v>
      </c>
    </row>
    <row r="96" spans="1:12" ht="15" customHeight="1" x14ac:dyDescent="0.3">
      <c r="A96" s="4"/>
      <c r="E96" s="1" t="str">
        <f>_xlfn.XLOOKUP(F96,UTIL!Q:Q,UTIL!N:N,"-")</f>
        <v>0</v>
      </c>
      <c r="H96" s="4"/>
      <c r="K96" s="71"/>
      <c r="L96" s="15" t="str">
        <f t="shared" si="2"/>
        <v>00.01 -Ped  - -R$</v>
      </c>
    </row>
    <row r="97" spans="1:12" ht="15" customHeight="1" x14ac:dyDescent="0.3">
      <c r="A97" s="4"/>
      <c r="E97" s="1" t="str">
        <f>_xlfn.XLOOKUP(F97,UTIL!Q:Q,UTIL!N:N,"-")</f>
        <v>0</v>
      </c>
      <c r="H97" s="4"/>
      <c r="K97" s="71"/>
      <c r="L97" s="15" t="str">
        <f t="shared" si="2"/>
        <v>00.01 -Ped  - -R$</v>
      </c>
    </row>
    <row r="98" spans="1:12" ht="15" customHeight="1" x14ac:dyDescent="0.3">
      <c r="A98" s="4"/>
      <c r="E98" s="1" t="str">
        <f>_xlfn.XLOOKUP(F98,UTIL!Q:Q,UTIL!N:N,"-")</f>
        <v>0</v>
      </c>
      <c r="H98" s="4"/>
      <c r="K98" s="71"/>
      <c r="L98" s="15" t="str">
        <f t="shared" si="2"/>
        <v>00.01 -Ped  - -R$</v>
      </c>
    </row>
    <row r="99" spans="1:12" ht="15" customHeight="1" x14ac:dyDescent="0.3">
      <c r="A99" s="4"/>
      <c r="E99" s="1" t="str">
        <f>_xlfn.XLOOKUP(F99,UTIL!Q:Q,UTIL!N:N,"-")</f>
        <v>0</v>
      </c>
      <c r="H99" s="4"/>
      <c r="K99" s="71"/>
      <c r="L99" s="15" t="str">
        <f t="shared" si="2"/>
        <v>00.01 -Ped  - -R$</v>
      </c>
    </row>
    <row r="100" spans="1:12" ht="15" customHeight="1" x14ac:dyDescent="0.3">
      <c r="A100" s="4"/>
      <c r="E100" s="1" t="str">
        <f>_xlfn.XLOOKUP(F100,UTIL!Q:Q,UTIL!N:N,"-")</f>
        <v>0</v>
      </c>
      <c r="H100" s="4"/>
      <c r="K100" s="71"/>
      <c r="L100" s="15" t="str">
        <f t="shared" si="2"/>
        <v>00.01 -Ped  - -R$</v>
      </c>
    </row>
    <row r="101" spans="1:12" ht="15" customHeight="1" x14ac:dyDescent="0.3">
      <c r="A101" s="4"/>
      <c r="E101" s="1" t="str">
        <f>_xlfn.XLOOKUP(F101,UTIL!Q:Q,UTIL!N:N,"-")</f>
        <v>0</v>
      </c>
      <c r="H101" s="4"/>
      <c r="K101" s="71"/>
      <c r="L101" s="15" t="str">
        <f t="shared" si="2"/>
        <v>00.01 -Ped  - -R$</v>
      </c>
    </row>
    <row r="102" spans="1:12" ht="15" customHeight="1" x14ac:dyDescent="0.3">
      <c r="A102" s="4"/>
      <c r="E102" s="1" t="str">
        <f>_xlfn.XLOOKUP(F102,UTIL!Q:Q,UTIL!N:N,"-")</f>
        <v>0</v>
      </c>
      <c r="H102" s="4"/>
      <c r="K102" s="71"/>
      <c r="L102" s="15" t="str">
        <f t="shared" si="2"/>
        <v>00.01 -Ped  - -R$</v>
      </c>
    </row>
  </sheetData>
  <conditionalFormatting sqref="A2:H9995">
    <cfRule type="expression" dxfId="52" priority="1">
      <formula>$H2="APROVADO"</formula>
    </cfRule>
    <cfRule type="expression" dxfId="51" priority="3">
      <formula>$H2="AGUARDANDO"</formula>
    </cfRule>
  </conditionalFormatting>
  <conditionalFormatting sqref="A2:L9995">
    <cfRule type="expression" dxfId="50" priority="5">
      <formula>LEN(TRIM($A2))=0</formula>
    </cfRule>
    <cfRule type="expression" dxfId="49" priority="6">
      <formula>LEN(TRIM($J2))=0</formula>
    </cfRule>
  </conditionalFormatting>
  <conditionalFormatting sqref="I2:L9995">
    <cfRule type="expression" dxfId="48" priority="2">
      <formula>LEN(TRIM($J2))&gt;0</formula>
    </cfRule>
  </conditionalFormatting>
  <dataValidations count="3">
    <dataValidation type="list" allowBlank="1" showInputMessage="1" showErrorMessage="1" sqref="B2:B30" xr:uid="{FD6CA7BB-7D1C-4797-8D49-8B0EACD1DAD0}">
      <formula1>"PG; CASTRO; IRATI; ARAPOTI; TIBAGI; GRPVA; PRUDE; QUEDAS"</formula1>
    </dataValidation>
    <dataValidation type="list" allowBlank="1" showInputMessage="1" showErrorMessage="1" sqref="B31:B89" xr:uid="{DAB08B16-AC0C-474C-BCD9-EA4EC6EDF2B0}">
      <formula1>"PG, CASTRO, IRATI, ARAPOTI, TIBAGI, GRPVA, PRUDE, QUEDAS"</formula1>
    </dataValidation>
    <dataValidation type="list" allowBlank="1" showInputMessage="1" showErrorMessage="1" sqref="H2:H102" xr:uid="{B46990C7-BCEF-4C0F-AFC4-A21D69DEF7A7}">
      <formula1>"Aprovado, Aguardando"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8AB2C3-C97D-481F-8D28-2D6D7D97BAEB}">
          <x14:formula1>
            <xm:f>UTIL!$Q$2:$Q$210</xm:f>
          </x14:formula1>
          <xm:sqref>F2:F102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48BF-B06E-4EA7-9CD1-8D61B74832D2}">
  <sheetPr>
    <tabColor theme="2" tint="-0.89999084444715716"/>
  </sheetPr>
  <dimension ref="A1:O2"/>
  <sheetViews>
    <sheetView showGridLines="0" workbookViewId="0">
      <pane ySplit="1" topLeftCell="A7" activePane="bottomLeft" state="frozen"/>
      <selection pane="bottomLeft" activeCell="E7" sqref="E7"/>
    </sheetView>
  </sheetViews>
  <sheetFormatPr defaultColWidth="0" defaultRowHeight="99.75" customHeight="1" x14ac:dyDescent="0.3"/>
  <cols>
    <col min="1" max="1" width="12" style="66" customWidth="1"/>
    <col min="2" max="2" width="20.5546875" style="66" customWidth="1"/>
    <col min="3" max="3" width="18.109375" style="66" bestFit="1" customWidth="1"/>
    <col min="4" max="4" width="16.5546875" style="66" bestFit="1" customWidth="1"/>
    <col min="5" max="5" width="21.88671875" style="66" customWidth="1"/>
    <col min="6" max="6" width="20" style="66" customWidth="1"/>
    <col min="7" max="7" width="21.109375" style="69" bestFit="1" customWidth="1"/>
    <col min="8" max="9" width="20" style="66" customWidth="1"/>
    <col min="10" max="10" width="15.88671875" style="66" bestFit="1" customWidth="1"/>
    <col min="11" max="11" width="18.33203125" style="66" bestFit="1" customWidth="1"/>
    <col min="12" max="15" width="20" style="66" customWidth="1"/>
    <col min="16" max="16384" width="12" style="1" hidden="1"/>
  </cols>
  <sheetData>
    <row r="1" spans="1:15" s="6" customFormat="1" ht="28.8" x14ac:dyDescent="0.3">
      <c r="A1" s="5" t="s">
        <v>88</v>
      </c>
      <c r="B1" s="6" t="s">
        <v>97</v>
      </c>
      <c r="C1" s="6" t="s">
        <v>491</v>
      </c>
      <c r="D1" s="6" t="s">
        <v>492</v>
      </c>
      <c r="E1" s="5" t="s">
        <v>493</v>
      </c>
      <c r="F1" s="6" t="s">
        <v>494</v>
      </c>
      <c r="G1" s="68" t="s">
        <v>495</v>
      </c>
      <c r="H1" s="6" t="s">
        <v>496</v>
      </c>
      <c r="I1" s="6" t="s">
        <v>497</v>
      </c>
      <c r="J1" s="6" t="s">
        <v>498</v>
      </c>
      <c r="K1" s="5" t="s">
        <v>499</v>
      </c>
      <c r="L1" s="6" t="s">
        <v>500</v>
      </c>
      <c r="M1" s="6" t="s">
        <v>501</v>
      </c>
      <c r="N1" s="6" t="s">
        <v>502</v>
      </c>
      <c r="O1" s="6" t="s">
        <v>503</v>
      </c>
    </row>
    <row r="2" spans="1:15" ht="72" x14ac:dyDescent="0.3">
      <c r="A2" s="65" t="s">
        <v>105</v>
      </c>
      <c r="B2" s="66" t="s">
        <v>504</v>
      </c>
      <c r="C2" s="67">
        <v>45973</v>
      </c>
      <c r="E2" s="65" t="s">
        <v>505</v>
      </c>
      <c r="F2" s="66" t="s">
        <v>506</v>
      </c>
      <c r="G2" s="69" t="s">
        <v>507</v>
      </c>
      <c r="H2" s="66" t="s">
        <v>109</v>
      </c>
      <c r="I2" s="66" t="s">
        <v>508</v>
      </c>
      <c r="J2" s="66" t="s">
        <v>52</v>
      </c>
      <c r="K2" s="65">
        <v>42988689045</v>
      </c>
    </row>
  </sheetData>
  <conditionalFormatting sqref="A2:O9997">
    <cfRule type="expression" dxfId="47" priority="1">
      <formula>$A2="REGISTRADO"</formula>
    </cfRule>
    <cfRule type="expression" dxfId="46" priority="2">
      <formula>$A2="CONCLUIDO"</formula>
    </cfRule>
  </conditionalFormatting>
  <dataValidations count="1">
    <dataValidation type="list" allowBlank="1" showInputMessage="1" showErrorMessage="1" sqref="A1:A1048576" xr:uid="{ED489ED0-BB41-4BB5-90AD-C6F4B4D96DB7}">
      <formula1>"REGISTRADO, CONCLUIDO"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257A-4798-4D53-BA44-0BF931D1E497}">
  <sheetPr>
    <tabColor theme="9" tint="-0.499984740745262"/>
  </sheetPr>
  <dimension ref="A1:AB210"/>
  <sheetViews>
    <sheetView showGridLines="0" workbookViewId="0">
      <selection activeCell="V13" sqref="V13"/>
    </sheetView>
  </sheetViews>
  <sheetFormatPr defaultColWidth="8.88671875" defaultRowHeight="12" customHeight="1" zeroHeight="1" x14ac:dyDescent="0.3"/>
  <cols>
    <col min="1" max="1" width="2.109375" style="2" bestFit="1" customWidth="1"/>
    <col min="2" max="2" width="11.6640625" style="2" bestFit="1" customWidth="1"/>
    <col min="3" max="3" width="3.44140625" style="2" bestFit="1" customWidth="1"/>
    <col min="4" max="5" width="6.33203125" style="2" bestFit="1" customWidth="1"/>
    <col min="6" max="6" width="4" style="162" bestFit="1" customWidth="1"/>
    <col min="7" max="8" width="4.6640625" style="162" bestFit="1" customWidth="1"/>
    <col min="9" max="9" width="5" style="162" bestFit="1" customWidth="1"/>
    <col min="10" max="10" width="5.5546875" style="163" bestFit="1" customWidth="1"/>
    <col min="11" max="11" width="28.88671875" style="2" bestFit="1" customWidth="1"/>
    <col min="12" max="12" width="4.6640625" style="7" bestFit="1" customWidth="1"/>
    <col min="13" max="13" width="1.6640625" style="7" customWidth="1"/>
    <col min="14" max="14" width="8.33203125" style="2" bestFit="1" customWidth="1"/>
    <col min="15" max="15" width="14.33203125" style="2" bestFit="1" customWidth="1"/>
    <col min="16" max="16" width="41.5546875" style="2" bestFit="1" customWidth="1"/>
    <col min="17" max="17" width="21.5546875" style="2" bestFit="1" customWidth="1"/>
    <col min="18" max="18" width="23.109375" style="2" bestFit="1" customWidth="1"/>
    <col min="19" max="19" width="9.6640625" style="2" bestFit="1" customWidth="1"/>
    <col min="20" max="20" width="4.6640625" style="7" bestFit="1" customWidth="1"/>
    <col min="21" max="21" width="1.6640625" style="7" customWidth="1"/>
    <col min="22" max="22" width="16.5546875" style="7" bestFit="1" customWidth="1"/>
    <col min="23" max="23" width="53.109375" style="7" bestFit="1" customWidth="1"/>
    <col min="24" max="24" width="10.6640625" style="7" bestFit="1" customWidth="1"/>
    <col min="25" max="25" width="0.88671875" style="7" customWidth="1"/>
    <col min="26" max="26" width="2" style="7" bestFit="1" customWidth="1"/>
    <col min="27" max="27" width="59.109375" style="7" bestFit="1" customWidth="1"/>
    <col min="28" max="28" width="11.6640625" style="7" bestFit="1" customWidth="1"/>
    <col min="29" max="16384" width="8.88671875" style="7"/>
  </cols>
  <sheetData>
    <row r="1" spans="1:28" ht="14.4" customHeight="1" x14ac:dyDescent="0.3">
      <c r="A1" s="156" t="s">
        <v>509</v>
      </c>
      <c r="B1" s="156" t="s">
        <v>510</v>
      </c>
      <c r="C1" s="156" t="s">
        <v>511</v>
      </c>
      <c r="D1" s="156" t="s">
        <v>512</v>
      </c>
      <c r="E1" s="156" t="s">
        <v>36</v>
      </c>
      <c r="F1" s="157" t="s">
        <v>513</v>
      </c>
      <c r="G1" s="157" t="s">
        <v>514</v>
      </c>
      <c r="H1" s="157" t="s">
        <v>515</v>
      </c>
      <c r="I1" s="157" t="s">
        <v>516</v>
      </c>
      <c r="J1" s="158" t="s">
        <v>517</v>
      </c>
      <c r="K1" s="156" t="s">
        <v>518</v>
      </c>
      <c r="L1" s="185" t="s">
        <v>500</v>
      </c>
      <c r="N1" s="156" t="s">
        <v>351</v>
      </c>
      <c r="O1" s="164" t="s">
        <v>519</v>
      </c>
      <c r="P1" s="156" t="s">
        <v>520</v>
      </c>
      <c r="Q1" s="156" t="s">
        <v>521</v>
      </c>
      <c r="R1" s="156" t="s">
        <v>522</v>
      </c>
      <c r="S1" s="154" t="s">
        <v>36</v>
      </c>
      <c r="T1" s="185" t="s">
        <v>523</v>
      </c>
      <c r="V1" s="59" t="s">
        <v>351</v>
      </c>
      <c r="W1" s="60" t="s">
        <v>524</v>
      </c>
      <c r="X1" s="49"/>
      <c r="Z1" s="7">
        <v>1</v>
      </c>
      <c r="AA1" s="58" t="s">
        <v>525</v>
      </c>
      <c r="AB1" s="44" t="s">
        <v>526</v>
      </c>
    </row>
    <row r="2" spans="1:28" x14ac:dyDescent="0.3">
      <c r="A2" s="159">
        <v>1</v>
      </c>
      <c r="B2" s="159" t="s">
        <v>527</v>
      </c>
      <c r="C2" s="159" t="s">
        <v>528</v>
      </c>
      <c r="D2" s="159" t="s">
        <v>529</v>
      </c>
      <c r="E2" s="159" t="s">
        <v>530</v>
      </c>
      <c r="F2" s="160">
        <v>2.2799999999999998</v>
      </c>
      <c r="G2" s="160">
        <v>3.1</v>
      </c>
      <c r="H2" s="160">
        <v>1</v>
      </c>
      <c r="I2" s="160">
        <v>1.57</v>
      </c>
      <c r="J2" s="161">
        <v>1200</v>
      </c>
      <c r="K2" s="159" t="str">
        <f>"A:"&amp;TEXT(F2,"0,00")&amp;" x C:"&amp;TEXT(G2,"0,00")&amp;" x L:"&amp;TEXT(H2,"0,00")&amp;"-"&amp;TEXT(I2,"0,00")&amp;" x P:"&amp;TEXT(J2,"0.00")&amp;"kg"</f>
        <v>A:2,28 x C:3,10 x L:1,00-1,57 x P:1.200kg</v>
      </c>
      <c r="L2" s="185"/>
      <c r="N2" s="159" t="str">
        <f t="shared" ref="N2:N65" si="0">"0"&amp;LEFT(TEXT(SUBSTITUTE(SUBSTITUTE(SUBSTITUTE(O2,".",""),"/",""),"-",""),"00000000000000"),8)</f>
        <v>044160580</v>
      </c>
      <c r="O2" s="165">
        <v>44160580000150</v>
      </c>
      <c r="P2" s="159" t="s">
        <v>531</v>
      </c>
      <c r="Q2" s="159" t="s">
        <v>532</v>
      </c>
      <c r="R2" s="159" t="s">
        <v>533</v>
      </c>
      <c r="S2" s="2" t="s">
        <v>534</v>
      </c>
      <c r="T2" s="185"/>
      <c r="V2" s="45" t="s">
        <v>535</v>
      </c>
      <c r="W2" s="46" t="s">
        <v>536</v>
      </c>
      <c r="X2" s="47"/>
      <c r="AA2" s="8" t="s">
        <v>537</v>
      </c>
      <c r="AB2" s="44"/>
    </row>
    <row r="3" spans="1:28" x14ac:dyDescent="0.3">
      <c r="A3" s="159">
        <v>1</v>
      </c>
      <c r="B3" s="159" t="s">
        <v>538</v>
      </c>
      <c r="C3" s="159" t="s">
        <v>528</v>
      </c>
      <c r="D3" s="159" t="s">
        <v>539</v>
      </c>
      <c r="E3" s="159" t="s">
        <v>540</v>
      </c>
      <c r="F3" s="160">
        <v>2.6</v>
      </c>
      <c r="G3" s="160">
        <v>4.08</v>
      </c>
      <c r="H3" s="160">
        <v>1.45</v>
      </c>
      <c r="I3" s="160">
        <v>2</v>
      </c>
      <c r="J3" s="161">
        <v>5100</v>
      </c>
      <c r="K3" s="159" t="str">
        <f t="shared" ref="K3:K66" si="1">"A:"&amp;TEXT(F3,"0,00")&amp;" x C:"&amp;TEXT(G3,"0,00")&amp;" x L:"&amp;TEXT(H3,"0,00")&amp;"-"&amp;TEXT(I3,"0,00")&amp;" x P:"&amp;TEXT(J3,"0.00")&amp;"kg"</f>
        <v>A:2,60 x C:4,08 x L:1,45-2,00 x P:5.100kg</v>
      </c>
      <c r="L3" s="185"/>
      <c r="N3" s="159" t="str">
        <f t="shared" si="0"/>
        <v>061196032</v>
      </c>
      <c r="O3" s="165">
        <v>61196032000107</v>
      </c>
      <c r="P3" s="159" t="s">
        <v>541</v>
      </c>
      <c r="Q3" s="159" t="s">
        <v>69</v>
      </c>
      <c r="R3" s="159" t="s">
        <v>542</v>
      </c>
      <c r="S3" s="2" t="s">
        <v>534</v>
      </c>
      <c r="T3" s="185"/>
      <c r="V3" s="45" t="s">
        <v>543</v>
      </c>
      <c r="W3" s="46" t="s">
        <v>544</v>
      </c>
      <c r="X3" s="47"/>
      <c r="Z3" s="7">
        <v>2</v>
      </c>
      <c r="AA3" s="58" t="s">
        <v>545</v>
      </c>
      <c r="AB3" s="44" t="s">
        <v>546</v>
      </c>
    </row>
    <row r="4" spans="1:28" x14ac:dyDescent="0.3">
      <c r="A4" s="159">
        <v>1</v>
      </c>
      <c r="B4" s="159" t="s">
        <v>538</v>
      </c>
      <c r="C4" s="159" t="s">
        <v>528</v>
      </c>
      <c r="D4" s="159" t="s">
        <v>539</v>
      </c>
      <c r="E4" s="159" t="s">
        <v>547</v>
      </c>
      <c r="F4" s="160">
        <v>2.38</v>
      </c>
      <c r="G4" s="160">
        <v>4.08</v>
      </c>
      <c r="H4" s="160">
        <v>1.44</v>
      </c>
      <c r="I4" s="160">
        <v>1.88</v>
      </c>
      <c r="J4" s="161">
        <v>2710</v>
      </c>
      <c r="K4" s="159" t="str">
        <f t="shared" si="1"/>
        <v>A:2,38 x C:4,08 x L:1,44-1,88 x P:2.710kg</v>
      </c>
      <c r="L4" s="185"/>
      <c r="N4" s="159" t="str">
        <f t="shared" si="0"/>
        <v>030712609</v>
      </c>
      <c r="O4" s="165">
        <v>30712609000154</v>
      </c>
      <c r="P4" s="159" t="s">
        <v>548</v>
      </c>
      <c r="Q4" s="159" t="s">
        <v>549</v>
      </c>
      <c r="R4" s="159" t="s">
        <v>550</v>
      </c>
      <c r="S4" s="155" t="s">
        <v>534</v>
      </c>
      <c r="T4" s="185"/>
      <c r="V4" s="45" t="s">
        <v>551</v>
      </c>
      <c r="W4" s="46" t="s">
        <v>552</v>
      </c>
      <c r="X4" s="47"/>
      <c r="AA4" s="8" t="s">
        <v>553</v>
      </c>
      <c r="AB4" s="44"/>
    </row>
    <row r="5" spans="1:28" x14ac:dyDescent="0.3">
      <c r="A5" s="159">
        <v>1</v>
      </c>
      <c r="B5" s="159" t="s">
        <v>538</v>
      </c>
      <c r="C5" s="159" t="s">
        <v>528</v>
      </c>
      <c r="D5" s="159" t="s">
        <v>539</v>
      </c>
      <c r="E5" s="159" t="s">
        <v>554</v>
      </c>
      <c r="F5" s="160">
        <v>2.38</v>
      </c>
      <c r="G5" s="160">
        <v>4.08</v>
      </c>
      <c r="H5" s="160">
        <v>1.44</v>
      </c>
      <c r="I5" s="160">
        <v>1.88</v>
      </c>
      <c r="J5" s="161">
        <v>2710</v>
      </c>
      <c r="K5" s="159" t="str">
        <f t="shared" si="1"/>
        <v>A:2,38 x C:4,08 x L:1,44-1,88 x P:2.710kg</v>
      </c>
      <c r="L5" s="185"/>
      <c r="N5" s="159" t="str">
        <f t="shared" si="0"/>
        <v>018492099</v>
      </c>
      <c r="O5" s="165">
        <v>18492099000151</v>
      </c>
      <c r="P5" s="159" t="s">
        <v>555</v>
      </c>
      <c r="Q5" s="159" t="s">
        <v>556</v>
      </c>
      <c r="R5" s="159" t="s">
        <v>557</v>
      </c>
      <c r="S5" s="2" t="s">
        <v>534</v>
      </c>
      <c r="T5" s="185"/>
      <c r="V5" s="45" t="s">
        <v>558</v>
      </c>
      <c r="W5" s="46" t="s">
        <v>559</v>
      </c>
      <c r="X5" s="47"/>
      <c r="Z5" s="7">
        <v>3</v>
      </c>
      <c r="AA5" s="58" t="s">
        <v>560</v>
      </c>
      <c r="AB5" s="44" t="s">
        <v>561</v>
      </c>
    </row>
    <row r="6" spans="1:28" x14ac:dyDescent="0.3">
      <c r="A6" s="159">
        <v>1</v>
      </c>
      <c r="B6" s="159" t="s">
        <v>538</v>
      </c>
      <c r="C6" s="159" t="s">
        <v>528</v>
      </c>
      <c r="D6" s="159" t="s">
        <v>562</v>
      </c>
      <c r="E6" s="159" t="s">
        <v>563</v>
      </c>
      <c r="F6" s="160">
        <v>2.6</v>
      </c>
      <c r="G6" s="160">
        <v>4.08</v>
      </c>
      <c r="H6" s="160">
        <v>1.45</v>
      </c>
      <c r="I6" s="160">
        <v>2</v>
      </c>
      <c r="J6" s="161">
        <v>5100</v>
      </c>
      <c r="K6" s="159" t="str">
        <f t="shared" si="1"/>
        <v>A:2,60 x C:4,08 x L:1,45-2,00 x P:5.100kg</v>
      </c>
      <c r="L6" s="185"/>
      <c r="N6" s="159" t="str">
        <f t="shared" si="0"/>
        <v>045428882</v>
      </c>
      <c r="O6" s="165">
        <v>45428882000129</v>
      </c>
      <c r="P6" s="159" t="s">
        <v>564</v>
      </c>
      <c r="Q6" s="159" t="s">
        <v>565</v>
      </c>
      <c r="R6" s="159" t="s">
        <v>566</v>
      </c>
      <c r="S6" s="2" t="s">
        <v>534</v>
      </c>
      <c r="T6" s="185"/>
      <c r="V6" s="45" t="s">
        <v>567</v>
      </c>
      <c r="W6" s="46" t="s">
        <v>568</v>
      </c>
      <c r="X6" s="48" t="s">
        <v>569</v>
      </c>
      <c r="AA6" s="8" t="s">
        <v>570</v>
      </c>
      <c r="AB6" s="44"/>
    </row>
    <row r="7" spans="1:28" x14ac:dyDescent="0.3">
      <c r="A7" s="159">
        <v>1</v>
      </c>
      <c r="B7" s="159" t="s">
        <v>538</v>
      </c>
      <c r="C7" s="159" t="s">
        <v>528</v>
      </c>
      <c r="D7" s="159" t="s">
        <v>571</v>
      </c>
      <c r="E7" s="159" t="s">
        <v>572</v>
      </c>
      <c r="F7" s="160">
        <v>2.77</v>
      </c>
      <c r="G7" s="160">
        <v>4.17</v>
      </c>
      <c r="H7" s="160">
        <v>1.45</v>
      </c>
      <c r="I7" s="160">
        <v>2</v>
      </c>
      <c r="J7" s="161">
        <v>5100</v>
      </c>
      <c r="K7" s="159" t="str">
        <f t="shared" si="1"/>
        <v>A:2,77 x C:4,17 x L:1,45-2,00 x P:5.100kg</v>
      </c>
      <c r="L7" s="185"/>
      <c r="N7" s="159" t="str">
        <f t="shared" si="0"/>
        <v>043196595</v>
      </c>
      <c r="O7" s="165">
        <v>43196595000105</v>
      </c>
      <c r="P7" s="159" t="s">
        <v>573</v>
      </c>
      <c r="Q7" s="159" t="s">
        <v>574</v>
      </c>
      <c r="R7" s="159" t="s">
        <v>575</v>
      </c>
      <c r="S7" s="155" t="s">
        <v>534</v>
      </c>
      <c r="T7" s="185"/>
      <c r="V7" s="45" t="s">
        <v>576</v>
      </c>
      <c r="W7" s="46" t="s">
        <v>577</v>
      </c>
      <c r="X7" s="48"/>
      <c r="Z7" s="7">
        <v>4</v>
      </c>
      <c r="AA7" s="58" t="s">
        <v>578</v>
      </c>
      <c r="AB7" s="44" t="s">
        <v>579</v>
      </c>
    </row>
    <row r="8" spans="1:28" x14ac:dyDescent="0.3">
      <c r="A8" s="159">
        <v>1</v>
      </c>
      <c r="B8" s="159" t="s">
        <v>538</v>
      </c>
      <c r="C8" s="159" t="s">
        <v>528</v>
      </c>
      <c r="D8" s="159" t="s">
        <v>580</v>
      </c>
      <c r="E8" s="159" t="s">
        <v>581</v>
      </c>
      <c r="F8" s="160">
        <v>2.6</v>
      </c>
      <c r="G8" s="160">
        <v>4.08</v>
      </c>
      <c r="H8" s="160">
        <v>1.45</v>
      </c>
      <c r="I8" s="160">
        <v>2</v>
      </c>
      <c r="J8" s="161">
        <v>5100</v>
      </c>
      <c r="K8" s="159" t="str">
        <f t="shared" si="1"/>
        <v>A:2,60 x C:4,08 x L:1,45-2,00 x P:5.100kg</v>
      </c>
      <c r="L8" s="185"/>
      <c r="N8" s="159" t="str">
        <f t="shared" si="0"/>
        <v>029866343</v>
      </c>
      <c r="O8" s="165">
        <v>29866343000115</v>
      </c>
      <c r="P8" s="159" t="s">
        <v>582</v>
      </c>
      <c r="Q8" s="159" t="s">
        <v>583</v>
      </c>
      <c r="R8" s="159" t="s">
        <v>584</v>
      </c>
      <c r="S8" s="155" t="s">
        <v>534</v>
      </c>
      <c r="T8" s="185"/>
      <c r="V8" s="59" t="s">
        <v>351</v>
      </c>
      <c r="W8" s="60" t="s">
        <v>585</v>
      </c>
      <c r="X8" s="49"/>
      <c r="AA8" s="8" t="s">
        <v>586</v>
      </c>
      <c r="AB8" s="44"/>
    </row>
    <row r="9" spans="1:28" x14ac:dyDescent="0.3">
      <c r="A9" s="159">
        <v>1</v>
      </c>
      <c r="B9" s="159" t="s">
        <v>538</v>
      </c>
      <c r="C9" s="159" t="s">
        <v>528</v>
      </c>
      <c r="D9" s="159" t="s">
        <v>587</v>
      </c>
      <c r="E9" s="159" t="s">
        <v>588</v>
      </c>
      <c r="F9" s="160">
        <v>2.77</v>
      </c>
      <c r="G9" s="160">
        <v>4.17</v>
      </c>
      <c r="H9" s="160">
        <v>1.45</v>
      </c>
      <c r="I9" s="160">
        <v>2</v>
      </c>
      <c r="J9" s="161">
        <v>5100</v>
      </c>
      <c r="K9" s="159" t="str">
        <f t="shared" si="1"/>
        <v>A:2,77 x C:4,17 x L:1,45-2,00 x P:5.100kg</v>
      </c>
      <c r="L9" s="185"/>
      <c r="N9" s="159" t="str">
        <f t="shared" si="0"/>
        <v>033144048</v>
      </c>
      <c r="O9" s="165">
        <v>33144048000122</v>
      </c>
      <c r="P9" s="159" t="s">
        <v>589</v>
      </c>
      <c r="Q9" s="159" t="s">
        <v>590</v>
      </c>
      <c r="R9" s="159" t="s">
        <v>591</v>
      </c>
      <c r="S9" s="155" t="s">
        <v>534</v>
      </c>
      <c r="T9" s="185"/>
      <c r="V9" s="45">
        <v>101001</v>
      </c>
      <c r="W9" s="46" t="s">
        <v>592</v>
      </c>
      <c r="X9" s="47"/>
      <c r="Z9" s="7">
        <v>5</v>
      </c>
      <c r="AA9" s="58" t="s">
        <v>593</v>
      </c>
      <c r="AB9" s="44" t="s">
        <v>594</v>
      </c>
    </row>
    <row r="10" spans="1:28" x14ac:dyDescent="0.3">
      <c r="A10" s="159">
        <v>1</v>
      </c>
      <c r="B10" s="159" t="s">
        <v>595</v>
      </c>
      <c r="C10" s="159" t="s">
        <v>528</v>
      </c>
      <c r="D10" s="159" t="s">
        <v>596</v>
      </c>
      <c r="E10" s="159" t="s">
        <v>597</v>
      </c>
      <c r="F10" s="160">
        <v>2.72</v>
      </c>
      <c r="G10" s="160">
        <v>4.5599999999999996</v>
      </c>
      <c r="H10" s="160">
        <v>2.5</v>
      </c>
      <c r="I10" s="160">
        <v>3.3</v>
      </c>
      <c r="J10" s="161">
        <v>5600</v>
      </c>
      <c r="K10" s="159" t="str">
        <f t="shared" si="1"/>
        <v>A:2,72 x C:4,56 x L:2,50-3,30 x P:5.600kg</v>
      </c>
      <c r="L10" s="185"/>
      <c r="N10" s="159" t="str">
        <f t="shared" si="0"/>
        <v>049138592</v>
      </c>
      <c r="O10" s="165">
        <v>49138592000100</v>
      </c>
      <c r="P10" s="159" t="s">
        <v>598</v>
      </c>
      <c r="Q10" s="159" t="s">
        <v>59</v>
      </c>
      <c r="R10" s="159" t="s">
        <v>599</v>
      </c>
      <c r="S10" s="155" t="s">
        <v>534</v>
      </c>
      <c r="T10" s="185"/>
      <c r="V10" s="45">
        <v>105001</v>
      </c>
      <c r="W10" s="46" t="s">
        <v>600</v>
      </c>
      <c r="X10" s="47"/>
      <c r="AA10" s="8" t="s">
        <v>601</v>
      </c>
      <c r="AB10" s="44"/>
    </row>
    <row r="11" spans="1:28" x14ac:dyDescent="0.3">
      <c r="A11" s="159">
        <v>1</v>
      </c>
      <c r="B11" s="159" t="s">
        <v>595</v>
      </c>
      <c r="C11" s="159" t="s">
        <v>528</v>
      </c>
      <c r="D11" s="159" t="s">
        <v>602</v>
      </c>
      <c r="E11" s="159" t="s">
        <v>603</v>
      </c>
      <c r="F11" s="160">
        <v>2.72</v>
      </c>
      <c r="G11" s="160">
        <v>4.5599999999999996</v>
      </c>
      <c r="H11" s="160">
        <v>2.6</v>
      </c>
      <c r="I11" s="160">
        <v>3.3</v>
      </c>
      <c r="J11" s="161">
        <v>6300</v>
      </c>
      <c r="K11" s="159" t="str">
        <f t="shared" si="1"/>
        <v>A:2,72 x C:4,56 x L:2,60-3,30 x P:6.300kg</v>
      </c>
      <c r="L11" s="185"/>
      <c r="N11" s="159" t="str">
        <f t="shared" si="0"/>
        <v>051308170</v>
      </c>
      <c r="O11" s="165">
        <v>51308170000179</v>
      </c>
      <c r="P11" s="159" t="s">
        <v>604</v>
      </c>
      <c r="Q11" s="159" t="s">
        <v>605</v>
      </c>
      <c r="R11" s="159" t="s">
        <v>606</v>
      </c>
      <c r="S11" s="155" t="s">
        <v>534</v>
      </c>
      <c r="T11" s="185"/>
      <c r="V11" s="45">
        <v>105003</v>
      </c>
      <c r="W11" s="46" t="s">
        <v>607</v>
      </c>
      <c r="X11" s="47"/>
      <c r="Z11" s="7">
        <v>6</v>
      </c>
      <c r="AA11" s="58" t="s">
        <v>608</v>
      </c>
      <c r="AB11" s="44" t="s">
        <v>609</v>
      </c>
    </row>
    <row r="12" spans="1:28" x14ac:dyDescent="0.3">
      <c r="A12" s="159">
        <v>1</v>
      </c>
      <c r="B12" s="159" t="s">
        <v>595</v>
      </c>
      <c r="C12" s="159" t="s">
        <v>528</v>
      </c>
      <c r="D12" s="159" t="s">
        <v>610</v>
      </c>
      <c r="E12" s="159" t="s">
        <v>611</v>
      </c>
      <c r="F12" s="160">
        <v>2.72</v>
      </c>
      <c r="G12" s="160">
        <v>4.5599999999999996</v>
      </c>
      <c r="H12" s="160">
        <v>2.7</v>
      </c>
      <c r="I12" s="160">
        <v>3.35</v>
      </c>
      <c r="J12" s="161">
        <v>6800</v>
      </c>
      <c r="K12" s="159" t="str">
        <f t="shared" si="1"/>
        <v>A:2,72 x C:4,56 x L:2,70-3,35 x P:6.800kg</v>
      </c>
      <c r="L12" s="185"/>
      <c r="N12" s="159" t="str">
        <f t="shared" si="0"/>
        <v>037717850</v>
      </c>
      <c r="O12" s="165">
        <v>37717850000115</v>
      </c>
      <c r="P12" s="159" t="s">
        <v>612</v>
      </c>
      <c r="Q12" s="159" t="s">
        <v>613</v>
      </c>
      <c r="R12" s="159" t="s">
        <v>550</v>
      </c>
      <c r="S12" s="155" t="s">
        <v>534</v>
      </c>
      <c r="T12" s="185"/>
      <c r="V12" s="45">
        <v>110002</v>
      </c>
      <c r="W12" s="46" t="s">
        <v>614</v>
      </c>
      <c r="X12" s="47"/>
      <c r="AA12" s="8" t="s">
        <v>615</v>
      </c>
      <c r="AB12" s="44"/>
    </row>
    <row r="13" spans="1:28" x14ac:dyDescent="0.3">
      <c r="A13" s="159">
        <v>1</v>
      </c>
      <c r="B13" s="159" t="s">
        <v>595</v>
      </c>
      <c r="C13" s="159" t="s">
        <v>528</v>
      </c>
      <c r="D13" s="159" t="s">
        <v>616</v>
      </c>
      <c r="E13" s="159" t="s">
        <v>617</v>
      </c>
      <c r="F13" s="160">
        <v>2.74</v>
      </c>
      <c r="G13" s="160">
        <v>4.92</v>
      </c>
      <c r="H13" s="160">
        <v>2.87</v>
      </c>
      <c r="I13" s="160">
        <v>3.45</v>
      </c>
      <c r="J13" s="161">
        <v>7200</v>
      </c>
      <c r="K13" s="159" t="str">
        <f t="shared" si="1"/>
        <v>A:2,74 x C:4,92 x L:2,87-3,45 x P:7.200kg</v>
      </c>
      <c r="L13" s="185"/>
      <c r="N13" s="159" t="str">
        <f t="shared" si="0"/>
        <v>051836272</v>
      </c>
      <c r="O13" s="165">
        <v>51836272000167</v>
      </c>
      <c r="P13" s="159" t="s">
        <v>618</v>
      </c>
      <c r="Q13" s="159" t="s">
        <v>619</v>
      </c>
      <c r="R13" s="159" t="s">
        <v>550</v>
      </c>
      <c r="S13" s="155" t="s">
        <v>534</v>
      </c>
      <c r="T13" s="185"/>
      <c r="V13" s="45">
        <v>101003</v>
      </c>
      <c r="W13" s="46" t="s">
        <v>620</v>
      </c>
      <c r="X13" s="47"/>
      <c r="Z13" s="7">
        <v>7</v>
      </c>
      <c r="AA13" s="58" t="s">
        <v>621</v>
      </c>
      <c r="AB13" s="44" t="s">
        <v>622</v>
      </c>
    </row>
    <row r="14" spans="1:28" x14ac:dyDescent="0.3">
      <c r="A14" s="159">
        <v>1</v>
      </c>
      <c r="B14" s="159" t="s">
        <v>595</v>
      </c>
      <c r="C14" s="159" t="s">
        <v>528</v>
      </c>
      <c r="D14" s="159" t="s">
        <v>616</v>
      </c>
      <c r="E14" s="159" t="s">
        <v>623</v>
      </c>
      <c r="F14" s="160">
        <v>2.2799999999999998</v>
      </c>
      <c r="G14" s="160">
        <v>4.5599999999999996</v>
      </c>
      <c r="H14" s="160">
        <v>2.87</v>
      </c>
      <c r="I14" s="160">
        <v>3.45</v>
      </c>
      <c r="J14" s="161">
        <v>7500</v>
      </c>
      <c r="K14" s="159" t="str">
        <f t="shared" si="1"/>
        <v>A:2,28 x C:4,56 x L:2,87-3,45 x P:7.500kg</v>
      </c>
      <c r="L14" s="185"/>
      <c r="N14" s="159" t="str">
        <f t="shared" si="0"/>
        <v>052184344</v>
      </c>
      <c r="O14" s="165">
        <v>52184344000100</v>
      </c>
      <c r="P14" s="159" t="s">
        <v>624</v>
      </c>
      <c r="Q14" s="159" t="s">
        <v>625</v>
      </c>
      <c r="R14" s="159" t="s">
        <v>575</v>
      </c>
      <c r="S14" s="155" t="s">
        <v>534</v>
      </c>
      <c r="T14" s="185"/>
      <c r="V14" s="45">
        <v>115004</v>
      </c>
      <c r="W14" s="46" t="s">
        <v>626</v>
      </c>
      <c r="X14" s="47"/>
      <c r="AA14" s="8" t="s">
        <v>627</v>
      </c>
      <c r="AB14" s="44"/>
    </row>
    <row r="15" spans="1:28" x14ac:dyDescent="0.3">
      <c r="A15" s="159">
        <v>1</v>
      </c>
      <c r="B15" s="159" t="s">
        <v>595</v>
      </c>
      <c r="C15" s="159" t="s">
        <v>528</v>
      </c>
      <c r="D15" s="159" t="s">
        <v>628</v>
      </c>
      <c r="E15" s="159" t="s">
        <v>629</v>
      </c>
      <c r="F15" s="160">
        <v>2.86</v>
      </c>
      <c r="G15" s="160">
        <v>4.96</v>
      </c>
      <c r="H15" s="160">
        <v>2.7</v>
      </c>
      <c r="I15" s="160">
        <v>3.3</v>
      </c>
      <c r="J15" s="161">
        <v>7800</v>
      </c>
      <c r="K15" s="159" t="str">
        <f t="shared" si="1"/>
        <v>A:2,86 x C:4,96 x L:2,70-3,30 x P:7.800kg</v>
      </c>
      <c r="L15" s="185"/>
      <c r="N15" s="159" t="str">
        <f t="shared" si="0"/>
        <v>046406936</v>
      </c>
      <c r="O15" s="165">
        <v>46406936000118</v>
      </c>
      <c r="P15" s="159" t="s">
        <v>630</v>
      </c>
      <c r="Q15" s="159" t="s">
        <v>631</v>
      </c>
      <c r="R15" s="159" t="s">
        <v>575</v>
      </c>
      <c r="S15" s="155" t="s">
        <v>534</v>
      </c>
      <c r="T15" s="185"/>
      <c r="V15" s="45">
        <v>120007</v>
      </c>
      <c r="W15" s="50" t="s">
        <v>632</v>
      </c>
      <c r="X15" s="51"/>
      <c r="Z15" s="7">
        <v>8</v>
      </c>
      <c r="AA15" s="58" t="s">
        <v>633</v>
      </c>
      <c r="AB15" s="44" t="s">
        <v>634</v>
      </c>
    </row>
    <row r="16" spans="1:28" x14ac:dyDescent="0.3">
      <c r="A16" s="159">
        <v>1</v>
      </c>
      <c r="B16" s="159" t="s">
        <v>595</v>
      </c>
      <c r="C16" s="159" t="s">
        <v>528</v>
      </c>
      <c r="D16" s="159" t="s">
        <v>628</v>
      </c>
      <c r="E16" s="159" t="s">
        <v>635</v>
      </c>
      <c r="F16" s="160">
        <v>2.93</v>
      </c>
      <c r="G16" s="160">
        <v>4.6500000000000004</v>
      </c>
      <c r="H16" s="160">
        <v>2.7</v>
      </c>
      <c r="I16" s="160">
        <v>3.3</v>
      </c>
      <c r="J16" s="161">
        <v>8500</v>
      </c>
      <c r="K16" s="159" t="str">
        <f t="shared" si="1"/>
        <v>A:2,93 x C:4,65 x L:2,70-3,30 x P:8.500kg</v>
      </c>
      <c r="L16" s="185"/>
      <c r="N16" s="159" t="str">
        <f t="shared" si="0"/>
        <v>036949062</v>
      </c>
      <c r="O16" s="165">
        <v>36949062000191</v>
      </c>
      <c r="P16" s="159" t="s">
        <v>636</v>
      </c>
      <c r="Q16" s="159" t="s">
        <v>637</v>
      </c>
      <c r="R16" s="159" t="s">
        <v>566</v>
      </c>
      <c r="S16" s="155" t="s">
        <v>534</v>
      </c>
      <c r="T16" s="185"/>
      <c r="V16" s="45">
        <v>120006</v>
      </c>
      <c r="W16" s="50" t="s">
        <v>638</v>
      </c>
      <c r="X16" s="51"/>
      <c r="AA16" s="8" t="s">
        <v>639</v>
      </c>
      <c r="AB16" s="44"/>
    </row>
    <row r="17" spans="1:28" x14ac:dyDescent="0.3">
      <c r="A17" s="159">
        <v>1</v>
      </c>
      <c r="B17" s="159" t="s">
        <v>595</v>
      </c>
      <c r="C17" s="159" t="s">
        <v>528</v>
      </c>
      <c r="D17" s="159" t="s">
        <v>640</v>
      </c>
      <c r="E17" s="159" t="s">
        <v>641</v>
      </c>
      <c r="F17" s="160">
        <v>2.93</v>
      </c>
      <c r="G17" s="160">
        <v>5.42</v>
      </c>
      <c r="H17" s="160">
        <v>2.74</v>
      </c>
      <c r="I17" s="160">
        <v>3.4</v>
      </c>
      <c r="J17" s="161">
        <v>8500</v>
      </c>
      <c r="K17" s="159" t="str">
        <f t="shared" si="1"/>
        <v>A:2,93 x C:5,42 x L:2,74-3,40 x P:8.500kg</v>
      </c>
      <c r="L17" s="185"/>
      <c r="N17" s="159" t="str">
        <f t="shared" si="0"/>
        <v>004799973</v>
      </c>
      <c r="O17" s="165">
        <v>4799973000193</v>
      </c>
      <c r="P17" s="159" t="s">
        <v>642</v>
      </c>
      <c r="Q17" s="159" t="s">
        <v>643</v>
      </c>
      <c r="R17" s="159" t="s">
        <v>644</v>
      </c>
      <c r="S17" s="155" t="s">
        <v>534</v>
      </c>
      <c r="T17" s="185"/>
      <c r="V17" s="59" t="s">
        <v>645</v>
      </c>
      <c r="W17" s="60" t="s">
        <v>646</v>
      </c>
      <c r="X17" s="49"/>
      <c r="AB17" s="44" t="s">
        <v>647</v>
      </c>
    </row>
    <row r="18" spans="1:28" x14ac:dyDescent="0.3">
      <c r="A18" s="159">
        <v>1</v>
      </c>
      <c r="B18" s="159" t="s">
        <v>595</v>
      </c>
      <c r="C18" s="159" t="s">
        <v>528</v>
      </c>
      <c r="D18" s="159" t="s">
        <v>640</v>
      </c>
      <c r="E18" s="159" t="s">
        <v>648</v>
      </c>
      <c r="F18" s="160">
        <v>3.3</v>
      </c>
      <c r="G18" s="160">
        <v>5.24</v>
      </c>
      <c r="H18" s="160">
        <v>2.74</v>
      </c>
      <c r="I18" s="160">
        <v>3.4</v>
      </c>
      <c r="J18" s="161">
        <v>9550</v>
      </c>
      <c r="K18" s="159" t="str">
        <f t="shared" si="1"/>
        <v>A:3,30 x C:5,24 x L:2,74-3,40 x P:9.550kg</v>
      </c>
      <c r="L18" s="185"/>
      <c r="N18" s="159" t="str">
        <f t="shared" si="0"/>
        <v>041772779</v>
      </c>
      <c r="O18" s="165">
        <v>41772779000140</v>
      </c>
      <c r="P18" s="159" t="s">
        <v>649</v>
      </c>
      <c r="Q18" s="159" t="s">
        <v>650</v>
      </c>
      <c r="R18" s="159" t="s">
        <v>566</v>
      </c>
      <c r="S18" s="155" t="s">
        <v>534</v>
      </c>
      <c r="T18" s="185"/>
      <c r="V18" s="46" t="s">
        <v>651</v>
      </c>
      <c r="W18" s="52" t="s">
        <v>652</v>
      </c>
      <c r="X18" s="48" t="s">
        <v>653</v>
      </c>
      <c r="AB18" s="44" t="s">
        <v>654</v>
      </c>
    </row>
    <row r="19" spans="1:28" x14ac:dyDescent="0.3">
      <c r="A19" s="159">
        <v>1</v>
      </c>
      <c r="B19" s="159" t="s">
        <v>595</v>
      </c>
      <c r="C19" s="159" t="s">
        <v>528</v>
      </c>
      <c r="D19" s="159" t="s">
        <v>655</v>
      </c>
      <c r="E19" s="159" t="s">
        <v>656</v>
      </c>
      <c r="F19" s="160">
        <v>2.98</v>
      </c>
      <c r="G19" s="160">
        <v>5.42</v>
      </c>
      <c r="H19" s="160">
        <v>2.95</v>
      </c>
      <c r="I19" s="160">
        <v>3.6</v>
      </c>
      <c r="J19" s="161">
        <v>9800</v>
      </c>
      <c r="K19" s="159" t="str">
        <f t="shared" si="1"/>
        <v>A:2,98 x C:5,42 x L:2,95-3,60 x P:9.800kg</v>
      </c>
      <c r="L19" s="185"/>
      <c r="N19" s="159" t="str">
        <f t="shared" si="0"/>
        <v>028829399</v>
      </c>
      <c r="O19" s="165">
        <v>28829399000137</v>
      </c>
      <c r="P19" s="159" t="s">
        <v>657</v>
      </c>
      <c r="Q19" s="159" t="s">
        <v>658</v>
      </c>
      <c r="R19" s="159" t="s">
        <v>659</v>
      </c>
      <c r="S19" s="155" t="s">
        <v>534</v>
      </c>
      <c r="T19" s="185"/>
      <c r="V19" s="46" t="s">
        <v>660</v>
      </c>
      <c r="W19" s="52" t="s">
        <v>661</v>
      </c>
      <c r="X19" s="48" t="s">
        <v>662</v>
      </c>
      <c r="AB19" s="44"/>
    </row>
    <row r="20" spans="1:28" x14ac:dyDescent="0.3">
      <c r="A20" s="159">
        <v>1</v>
      </c>
      <c r="B20" s="159" t="s">
        <v>595</v>
      </c>
      <c r="C20" s="159" t="s">
        <v>528</v>
      </c>
      <c r="D20" s="159" t="s">
        <v>655</v>
      </c>
      <c r="E20" s="159" t="s">
        <v>663</v>
      </c>
      <c r="F20" s="160">
        <v>3.3</v>
      </c>
      <c r="G20" s="160">
        <v>5.24</v>
      </c>
      <c r="H20" s="160">
        <v>2.95</v>
      </c>
      <c r="I20" s="160">
        <v>3.6</v>
      </c>
      <c r="J20" s="161">
        <v>10650</v>
      </c>
      <c r="K20" s="159" t="str">
        <f t="shared" si="1"/>
        <v>A:3,30 x C:5,24 x L:2,95-3,60 x P:10.650kg</v>
      </c>
      <c r="L20" s="185"/>
      <c r="N20" s="159" t="str">
        <f t="shared" si="0"/>
        <v>017726086</v>
      </c>
      <c r="O20" s="165">
        <v>17726086000137</v>
      </c>
      <c r="P20" s="159" t="s">
        <v>664</v>
      </c>
      <c r="Q20" s="159" t="s">
        <v>665</v>
      </c>
      <c r="R20" s="159" t="s">
        <v>666</v>
      </c>
      <c r="S20" s="155" t="s">
        <v>534</v>
      </c>
      <c r="T20" s="185"/>
      <c r="V20" s="61" t="s">
        <v>667</v>
      </c>
      <c r="W20" s="61" t="s">
        <v>668</v>
      </c>
      <c r="X20" s="49"/>
      <c r="AA20" s="17" t="s">
        <v>669</v>
      </c>
      <c r="AB20" s="44"/>
    </row>
    <row r="21" spans="1:28" x14ac:dyDescent="0.3">
      <c r="A21" s="159">
        <v>1</v>
      </c>
      <c r="B21" s="159" t="s">
        <v>595</v>
      </c>
      <c r="C21" s="159" t="s">
        <v>528</v>
      </c>
      <c r="D21" s="159" t="s">
        <v>670</v>
      </c>
      <c r="E21" s="159" t="s">
        <v>671</v>
      </c>
      <c r="F21" s="160">
        <v>2.93</v>
      </c>
      <c r="G21" s="160">
        <v>5.42</v>
      </c>
      <c r="H21" s="160">
        <v>2.92</v>
      </c>
      <c r="I21" s="160">
        <v>3.6</v>
      </c>
      <c r="J21" s="161">
        <v>11000</v>
      </c>
      <c r="K21" s="159" t="str">
        <f t="shared" si="1"/>
        <v>A:2,93 x C:5,42 x L:2,92-3,60 x P:11.000kg</v>
      </c>
      <c r="N21" s="159" t="str">
        <f t="shared" si="0"/>
        <v>037205228</v>
      </c>
      <c r="O21" s="165">
        <v>37205228000128</v>
      </c>
      <c r="P21" s="159" t="s">
        <v>672</v>
      </c>
      <c r="Q21" s="159" t="s">
        <v>673</v>
      </c>
      <c r="R21" s="159" t="s">
        <v>591</v>
      </c>
      <c r="S21" s="155" t="s">
        <v>534</v>
      </c>
      <c r="V21" s="53" t="s">
        <v>674</v>
      </c>
      <c r="W21" s="53" t="s">
        <v>675</v>
      </c>
      <c r="X21" s="54"/>
      <c r="AA21" s="18" t="s">
        <v>676</v>
      </c>
      <c r="AB21" s="44"/>
    </row>
    <row r="22" spans="1:28" x14ac:dyDescent="0.3">
      <c r="A22" s="159">
        <v>1</v>
      </c>
      <c r="B22" s="159" t="s">
        <v>595</v>
      </c>
      <c r="C22" s="159" t="s">
        <v>528</v>
      </c>
      <c r="D22" s="159" t="s">
        <v>670</v>
      </c>
      <c r="E22" s="159" t="s">
        <v>677</v>
      </c>
      <c r="F22" s="160">
        <v>3.31</v>
      </c>
      <c r="G22" s="160">
        <v>5.0199999999999996</v>
      </c>
      <c r="H22" s="160">
        <v>2.92</v>
      </c>
      <c r="I22" s="160">
        <v>3.6</v>
      </c>
      <c r="J22" s="161">
        <v>11750</v>
      </c>
      <c r="K22" s="159" t="str">
        <f t="shared" si="1"/>
        <v>A:3,31 x C:5,02 x L:2,92-3,60 x P:11.750kg</v>
      </c>
      <c r="N22" s="159" t="str">
        <f t="shared" si="0"/>
        <v>034154225</v>
      </c>
      <c r="O22" s="165">
        <v>34154225000114</v>
      </c>
      <c r="P22" s="159" t="s">
        <v>678</v>
      </c>
      <c r="Q22" s="159" t="s">
        <v>70</v>
      </c>
      <c r="R22" s="159" t="s">
        <v>550</v>
      </c>
      <c r="S22" s="155" t="s">
        <v>534</v>
      </c>
      <c r="V22" s="53" t="s">
        <v>679</v>
      </c>
      <c r="W22" s="53" t="s">
        <v>680</v>
      </c>
      <c r="X22" s="54"/>
      <c r="AA22" s="18" t="s">
        <v>681</v>
      </c>
    </row>
    <row r="23" spans="1:28" x14ac:dyDescent="0.3">
      <c r="A23" s="159">
        <v>1</v>
      </c>
      <c r="B23" s="159" t="s">
        <v>682</v>
      </c>
      <c r="C23" s="159" t="s">
        <v>528</v>
      </c>
      <c r="D23" s="159" t="s">
        <v>683</v>
      </c>
      <c r="E23" s="159" t="s">
        <v>684</v>
      </c>
      <c r="F23" s="160">
        <v>3.17</v>
      </c>
      <c r="G23" s="160">
        <v>5.82</v>
      </c>
      <c r="H23" s="160">
        <v>2.4300000000000002</v>
      </c>
      <c r="I23" s="160">
        <v>3</v>
      </c>
      <c r="J23" s="161">
        <v>11400</v>
      </c>
      <c r="K23" s="159" t="str">
        <f t="shared" si="1"/>
        <v>A:3,17 x C:5,82 x L:2,43-3,00 x P:11.400kg</v>
      </c>
      <c r="N23" s="159" t="str">
        <f t="shared" si="0"/>
        <v>027170024</v>
      </c>
      <c r="O23" s="165">
        <v>27170024000145</v>
      </c>
      <c r="P23" s="159" t="s">
        <v>685</v>
      </c>
      <c r="Q23" s="159" t="s">
        <v>686</v>
      </c>
      <c r="R23" s="159" t="s">
        <v>687</v>
      </c>
      <c r="S23" s="155" t="s">
        <v>534</v>
      </c>
      <c r="V23" s="53" t="s">
        <v>688</v>
      </c>
      <c r="W23" s="53" t="s">
        <v>689</v>
      </c>
      <c r="X23" s="54"/>
      <c r="AA23" s="18" t="s">
        <v>690</v>
      </c>
    </row>
    <row r="24" spans="1:28" x14ac:dyDescent="0.3">
      <c r="A24" s="159">
        <v>1</v>
      </c>
      <c r="B24" s="159" t="s">
        <v>682</v>
      </c>
      <c r="C24" s="159" t="s">
        <v>528</v>
      </c>
      <c r="D24" s="159" t="s">
        <v>691</v>
      </c>
      <c r="E24" s="159" t="s">
        <v>692</v>
      </c>
      <c r="F24" s="160">
        <v>3.17</v>
      </c>
      <c r="G24" s="160">
        <v>5.82</v>
      </c>
      <c r="H24" s="160">
        <v>2.4300000000000002</v>
      </c>
      <c r="I24" s="160">
        <v>3</v>
      </c>
      <c r="J24" s="161">
        <v>11800</v>
      </c>
      <c r="K24" s="159" t="str">
        <f t="shared" si="1"/>
        <v>A:3,17 x C:5,82 x L:2,43-3,00 x P:11.800kg</v>
      </c>
      <c r="N24" s="159" t="str">
        <f t="shared" si="0"/>
        <v>031370636</v>
      </c>
      <c r="O24" s="165">
        <v>31370636000159</v>
      </c>
      <c r="P24" s="159" t="s">
        <v>693</v>
      </c>
      <c r="Q24" s="159" t="s">
        <v>68</v>
      </c>
      <c r="R24" s="159" t="s">
        <v>591</v>
      </c>
      <c r="S24" s="2" t="s">
        <v>534</v>
      </c>
      <c r="AA24" s="18" t="s">
        <v>694</v>
      </c>
    </row>
    <row r="25" spans="1:28" x14ac:dyDescent="0.3">
      <c r="A25" s="159">
        <v>1</v>
      </c>
      <c r="B25" s="159" t="s">
        <v>682</v>
      </c>
      <c r="C25" s="159" t="s">
        <v>528</v>
      </c>
      <c r="D25" s="159" t="s">
        <v>695</v>
      </c>
      <c r="E25" s="159" t="s">
        <v>696</v>
      </c>
      <c r="F25" s="160">
        <v>3.17</v>
      </c>
      <c r="G25" s="160">
        <v>5.82</v>
      </c>
      <c r="H25" s="160">
        <v>2.4300000000000002</v>
      </c>
      <c r="I25" s="160">
        <v>3</v>
      </c>
      <c r="J25" s="161">
        <v>12650</v>
      </c>
      <c r="K25" s="159" t="str">
        <f t="shared" si="1"/>
        <v>A:3,17 x C:5,82 x L:2,43-3,00 x P:12.650kg</v>
      </c>
      <c r="N25" s="159" t="str">
        <f t="shared" si="0"/>
        <v>029084883</v>
      </c>
      <c r="O25" s="165">
        <v>29084883000147</v>
      </c>
      <c r="P25" s="159" t="s">
        <v>697</v>
      </c>
      <c r="Q25" s="159" t="s">
        <v>698</v>
      </c>
      <c r="R25" s="159" t="s">
        <v>591</v>
      </c>
      <c r="S25" s="155" t="s">
        <v>534</v>
      </c>
      <c r="AA25" s="18" t="s">
        <v>699</v>
      </c>
    </row>
    <row r="26" spans="1:28" ht="14.4" customHeight="1" x14ac:dyDescent="0.3">
      <c r="A26" s="159">
        <v>1</v>
      </c>
      <c r="B26" s="159" t="s">
        <v>700</v>
      </c>
      <c r="C26" s="159" t="s">
        <v>528</v>
      </c>
      <c r="D26" s="159" t="s">
        <v>701</v>
      </c>
      <c r="E26" s="159" t="s">
        <v>702</v>
      </c>
      <c r="F26" s="160">
        <v>3.3</v>
      </c>
      <c r="G26" s="160">
        <v>6.04</v>
      </c>
      <c r="H26" s="160">
        <v>2.4500000000000002</v>
      </c>
      <c r="I26" s="160">
        <v>3.3</v>
      </c>
      <c r="J26" s="161">
        <v>13325</v>
      </c>
      <c r="K26" s="159" t="str">
        <f t="shared" si="1"/>
        <v>A:3,30 x C:6,04 x L:2,45-3,30 x P:13.325kg</v>
      </c>
      <c r="N26" s="159" t="str">
        <f t="shared" si="0"/>
        <v>059376166</v>
      </c>
      <c r="O26" s="165">
        <v>59376166000150</v>
      </c>
      <c r="P26" s="159" t="s">
        <v>703</v>
      </c>
      <c r="Q26" s="159" t="s">
        <v>62</v>
      </c>
      <c r="R26" s="159" t="s">
        <v>606</v>
      </c>
      <c r="S26" s="155" t="s">
        <v>534</v>
      </c>
      <c r="V26" s="186" t="s">
        <v>704</v>
      </c>
      <c r="W26" s="186"/>
      <c r="X26" s="186"/>
      <c r="AA26" s="18" t="s">
        <v>705</v>
      </c>
    </row>
    <row r="27" spans="1:28" x14ac:dyDescent="0.3">
      <c r="A27" s="159">
        <v>1</v>
      </c>
      <c r="B27" s="159" t="s">
        <v>700</v>
      </c>
      <c r="C27" s="159" t="s">
        <v>528</v>
      </c>
      <c r="D27" s="159" t="s">
        <v>706</v>
      </c>
      <c r="E27" s="159" t="s">
        <v>707</v>
      </c>
      <c r="F27" s="160">
        <v>3.3</v>
      </c>
      <c r="G27" s="160">
        <v>6.04</v>
      </c>
      <c r="H27" s="160">
        <v>2.4500000000000002</v>
      </c>
      <c r="I27" s="160">
        <v>3.3</v>
      </c>
      <c r="J27" s="161">
        <v>14700</v>
      </c>
      <c r="K27" s="159" t="str">
        <f t="shared" si="1"/>
        <v>A:3,30 x C:6,04 x L:2,45-3,30 x P:14.700kg</v>
      </c>
      <c r="N27" s="159" t="str">
        <f t="shared" si="0"/>
        <v>042932416</v>
      </c>
      <c r="O27" s="165">
        <v>42932416000198</v>
      </c>
      <c r="P27" s="159" t="s">
        <v>708</v>
      </c>
      <c r="Q27" s="159" t="s">
        <v>709</v>
      </c>
      <c r="R27" s="159" t="s">
        <v>606</v>
      </c>
      <c r="S27" s="155" t="s">
        <v>534</v>
      </c>
      <c r="V27" s="62" t="s">
        <v>710</v>
      </c>
      <c r="W27" s="62" t="s">
        <v>711</v>
      </c>
      <c r="X27" s="62" t="s">
        <v>712</v>
      </c>
      <c r="AA27" s="18" t="s">
        <v>713</v>
      </c>
    </row>
    <row r="28" spans="1:28" x14ac:dyDescent="0.3">
      <c r="A28" s="159">
        <v>1</v>
      </c>
      <c r="B28" s="159" t="s">
        <v>700</v>
      </c>
      <c r="C28" s="159" t="s">
        <v>528</v>
      </c>
      <c r="D28" s="159" t="s">
        <v>714</v>
      </c>
      <c r="E28" s="159" t="s">
        <v>715</v>
      </c>
      <c r="F28" s="160">
        <v>3.3</v>
      </c>
      <c r="G28" s="160">
        <v>6.04</v>
      </c>
      <c r="H28" s="160">
        <v>2.4500000000000002</v>
      </c>
      <c r="I28" s="160">
        <v>3.3</v>
      </c>
      <c r="J28" s="161">
        <v>16192</v>
      </c>
      <c r="K28" s="159" t="str">
        <f t="shared" si="1"/>
        <v>A:3,30 x C:6,04 x L:2,45-3,30 x P:16.192kg</v>
      </c>
      <c r="N28" s="159" t="str">
        <f t="shared" si="0"/>
        <v>011374806</v>
      </c>
      <c r="O28" s="165">
        <v>11374806000166</v>
      </c>
      <c r="P28" s="159" t="s">
        <v>716</v>
      </c>
      <c r="Q28" s="159" t="s">
        <v>717</v>
      </c>
      <c r="R28" s="159" t="s">
        <v>606</v>
      </c>
      <c r="S28" s="2" t="s">
        <v>534</v>
      </c>
      <c r="V28" s="56" t="s">
        <v>48</v>
      </c>
      <c r="W28" s="55" t="s">
        <v>718</v>
      </c>
      <c r="X28" s="55" t="s">
        <v>719</v>
      </c>
      <c r="AA28" s="18" t="s">
        <v>720</v>
      </c>
    </row>
    <row r="29" spans="1:28" x14ac:dyDescent="0.3">
      <c r="A29" s="159">
        <v>1</v>
      </c>
      <c r="B29" s="159" t="s">
        <v>700</v>
      </c>
      <c r="C29" s="159" t="s">
        <v>528</v>
      </c>
      <c r="D29" s="159" t="s">
        <v>721</v>
      </c>
      <c r="E29" s="159" t="s">
        <v>722</v>
      </c>
      <c r="F29" s="160">
        <v>3.3</v>
      </c>
      <c r="G29" s="160">
        <v>6.04</v>
      </c>
      <c r="H29" s="160">
        <v>2.4500000000000002</v>
      </c>
      <c r="I29" s="160">
        <v>3.3</v>
      </c>
      <c r="J29" s="161">
        <v>17600</v>
      </c>
      <c r="K29" s="159" t="str">
        <f t="shared" si="1"/>
        <v>A:3,30 x C:6,04 x L:2,45-3,30 x P:17.600kg</v>
      </c>
      <c r="N29" s="159" t="str">
        <f t="shared" si="0"/>
        <v>047462365</v>
      </c>
      <c r="O29" s="165">
        <v>47462365000100</v>
      </c>
      <c r="P29" s="159" t="s">
        <v>723</v>
      </c>
      <c r="Q29" s="159" t="s">
        <v>724</v>
      </c>
      <c r="R29" s="159" t="s">
        <v>606</v>
      </c>
      <c r="S29" s="2" t="s">
        <v>534</v>
      </c>
      <c r="V29" s="56" t="s">
        <v>50</v>
      </c>
      <c r="W29" s="55" t="s">
        <v>725</v>
      </c>
      <c r="X29" s="55" t="s">
        <v>726</v>
      </c>
      <c r="AA29" s="18" t="s">
        <v>727</v>
      </c>
    </row>
    <row r="30" spans="1:28" x14ac:dyDescent="0.3">
      <c r="A30" s="159">
        <v>1</v>
      </c>
      <c r="B30" s="159" t="s">
        <v>700</v>
      </c>
      <c r="C30" s="159" t="s">
        <v>528</v>
      </c>
      <c r="D30" s="159" t="s">
        <v>728</v>
      </c>
      <c r="E30" s="159" t="s">
        <v>729</v>
      </c>
      <c r="F30" s="160">
        <v>3.3</v>
      </c>
      <c r="G30" s="160">
        <v>6.04</v>
      </c>
      <c r="H30" s="160">
        <v>2.4500000000000002</v>
      </c>
      <c r="I30" s="160">
        <v>3.3</v>
      </c>
      <c r="J30" s="161">
        <v>18000</v>
      </c>
      <c r="K30" s="159" t="str">
        <f t="shared" si="1"/>
        <v>A:3,30 x C:6,04 x L:2,45-3,30 x P:18.000kg</v>
      </c>
      <c r="N30" s="159" t="str">
        <f t="shared" si="0"/>
        <v>054337699</v>
      </c>
      <c r="O30" s="165">
        <v>54337699000109</v>
      </c>
      <c r="P30" s="159" t="s">
        <v>730</v>
      </c>
      <c r="Q30" s="159" t="s">
        <v>731</v>
      </c>
      <c r="R30" s="159" t="s">
        <v>550</v>
      </c>
      <c r="S30" s="2" t="s">
        <v>534</v>
      </c>
      <c r="V30" s="56" t="s">
        <v>49</v>
      </c>
      <c r="W30" s="55" t="s">
        <v>732</v>
      </c>
      <c r="X30" s="55" t="s">
        <v>733</v>
      </c>
      <c r="AA30" s="18" t="s">
        <v>734</v>
      </c>
    </row>
    <row r="31" spans="1:28" x14ac:dyDescent="0.3">
      <c r="A31" s="159">
        <v>1</v>
      </c>
      <c r="B31" s="159" t="s">
        <v>700</v>
      </c>
      <c r="C31" s="159" t="s">
        <v>528</v>
      </c>
      <c r="D31" s="159" t="s">
        <v>735</v>
      </c>
      <c r="E31" s="159" t="s">
        <v>736</v>
      </c>
      <c r="F31" s="160">
        <v>3.3</v>
      </c>
      <c r="G31" s="160">
        <v>6.04</v>
      </c>
      <c r="H31" s="160">
        <v>2.4500000000000002</v>
      </c>
      <c r="I31" s="160">
        <v>3.3</v>
      </c>
      <c r="J31" s="161">
        <v>18000</v>
      </c>
      <c r="K31" s="159" t="str">
        <f t="shared" si="1"/>
        <v>A:3,30 x C:6,04 x L:2,45-3,30 x P:18.000kg</v>
      </c>
      <c r="N31" s="159" t="str">
        <f t="shared" si="0"/>
        <v>020131578</v>
      </c>
      <c r="O31" s="165">
        <v>20131578000194</v>
      </c>
      <c r="P31" s="159" t="s">
        <v>737</v>
      </c>
      <c r="Q31" s="159" t="s">
        <v>738</v>
      </c>
      <c r="R31" s="159" t="s">
        <v>666</v>
      </c>
      <c r="S31" s="2" t="s">
        <v>534</v>
      </c>
      <c r="V31" s="56" t="s">
        <v>47</v>
      </c>
      <c r="W31" s="55" t="s">
        <v>739</v>
      </c>
      <c r="X31" s="55" t="s">
        <v>740</v>
      </c>
      <c r="AA31" s="18" t="s">
        <v>741</v>
      </c>
    </row>
    <row r="32" spans="1:28" x14ac:dyDescent="0.3">
      <c r="A32" s="159">
        <v>1</v>
      </c>
      <c r="B32" s="159" t="s">
        <v>700</v>
      </c>
      <c r="C32" s="159" t="s">
        <v>528</v>
      </c>
      <c r="D32" s="159" t="s">
        <v>742</v>
      </c>
      <c r="E32" s="159" t="s">
        <v>743</v>
      </c>
      <c r="F32" s="160">
        <v>3.3</v>
      </c>
      <c r="G32" s="160">
        <v>6.04</v>
      </c>
      <c r="H32" s="160">
        <v>2.4500000000000002</v>
      </c>
      <c r="I32" s="160">
        <v>3.3</v>
      </c>
      <c r="J32" s="161">
        <v>18000</v>
      </c>
      <c r="K32" s="159" t="str">
        <f t="shared" si="1"/>
        <v>A:3,30 x C:6,04 x L:2,45-3,30 x P:18.000kg</v>
      </c>
      <c r="N32" s="159" t="str">
        <f t="shared" si="0"/>
        <v>051496564</v>
      </c>
      <c r="O32" s="165">
        <v>51496564000106</v>
      </c>
      <c r="P32" s="159" t="s">
        <v>744</v>
      </c>
      <c r="Q32" s="159" t="s">
        <v>64</v>
      </c>
      <c r="R32" s="159" t="s">
        <v>566</v>
      </c>
      <c r="S32" s="2" t="s">
        <v>534</v>
      </c>
      <c r="V32" s="56" t="s">
        <v>125</v>
      </c>
      <c r="W32" s="55" t="s">
        <v>745</v>
      </c>
      <c r="X32" s="55" t="s">
        <v>746</v>
      </c>
      <c r="AA32" s="18" t="s">
        <v>747</v>
      </c>
    </row>
    <row r="33" spans="1:27" x14ac:dyDescent="0.3">
      <c r="A33" s="159">
        <v>1</v>
      </c>
      <c r="B33" s="159" t="s">
        <v>748</v>
      </c>
      <c r="C33" s="159" t="s">
        <v>528</v>
      </c>
      <c r="D33" s="159" t="s">
        <v>749</v>
      </c>
      <c r="E33" s="159" t="s">
        <v>749</v>
      </c>
      <c r="F33" s="160">
        <v>3.98</v>
      </c>
      <c r="G33" s="160">
        <v>8.43</v>
      </c>
      <c r="H33" s="160">
        <v>3.05</v>
      </c>
      <c r="I33" s="160">
        <v>4.3</v>
      </c>
      <c r="J33" s="161">
        <v>20856</v>
      </c>
      <c r="K33" s="159" t="str">
        <f t="shared" si="1"/>
        <v>A:3,98 x C:8,43 x L:3,05-4,30 x P:20.856kg</v>
      </c>
      <c r="N33" s="159" t="str">
        <f t="shared" si="0"/>
        <v>037676492</v>
      </c>
      <c r="O33" s="165">
        <v>37676492000140</v>
      </c>
      <c r="P33" s="159" t="s">
        <v>750</v>
      </c>
      <c r="Q33" s="159" t="s">
        <v>751</v>
      </c>
      <c r="R33" s="159" t="s">
        <v>752</v>
      </c>
      <c r="S33" s="2" t="s">
        <v>534</v>
      </c>
      <c r="V33" s="56" t="s">
        <v>233</v>
      </c>
      <c r="W33" s="55" t="s">
        <v>753</v>
      </c>
      <c r="X33" s="55" t="s">
        <v>754</v>
      </c>
      <c r="AA33" s="18" t="s">
        <v>755</v>
      </c>
    </row>
    <row r="34" spans="1:27" x14ac:dyDescent="0.3">
      <c r="A34" s="159">
        <v>1</v>
      </c>
      <c r="B34" s="159" t="s">
        <v>748</v>
      </c>
      <c r="C34" s="159" t="s">
        <v>528</v>
      </c>
      <c r="D34" s="159" t="s">
        <v>756</v>
      </c>
      <c r="E34" s="159" t="s">
        <v>756</v>
      </c>
      <c r="F34" s="160">
        <v>3.98</v>
      </c>
      <c r="G34" s="160">
        <v>8.43</v>
      </c>
      <c r="H34" s="160">
        <v>3.05</v>
      </c>
      <c r="I34" s="160">
        <v>4.3</v>
      </c>
      <c r="J34" s="161">
        <v>20856</v>
      </c>
      <c r="K34" s="159" t="str">
        <f t="shared" si="1"/>
        <v>A:3,98 x C:8,43 x L:3,05-4,30 x P:20.856kg</v>
      </c>
      <c r="N34" s="159" t="str">
        <f t="shared" si="0"/>
        <v>051859432</v>
      </c>
      <c r="O34" s="165">
        <v>51859432000193</v>
      </c>
      <c r="P34" s="159" t="s">
        <v>757</v>
      </c>
      <c r="Q34" s="159" t="s">
        <v>758</v>
      </c>
      <c r="R34" s="159" t="s">
        <v>759</v>
      </c>
      <c r="S34" s="155" t="s">
        <v>534</v>
      </c>
      <c r="V34" s="56" t="s">
        <v>760</v>
      </c>
      <c r="W34" s="55" t="s">
        <v>761</v>
      </c>
      <c r="X34" s="55" t="s">
        <v>762</v>
      </c>
      <c r="AA34" s="57" t="s">
        <v>763</v>
      </c>
    </row>
    <row r="35" spans="1:27" x14ac:dyDescent="0.3">
      <c r="A35" s="159">
        <v>1</v>
      </c>
      <c r="B35" s="159" t="s">
        <v>748</v>
      </c>
      <c r="C35" s="159" t="s">
        <v>528</v>
      </c>
      <c r="D35" s="159" t="s">
        <v>764</v>
      </c>
      <c r="E35" s="159" t="s">
        <v>764</v>
      </c>
      <c r="F35" s="160">
        <v>3.98</v>
      </c>
      <c r="G35" s="160">
        <v>8.43</v>
      </c>
      <c r="H35" s="160">
        <v>3.05</v>
      </c>
      <c r="I35" s="160">
        <v>4.3</v>
      </c>
      <c r="J35" s="161">
        <v>20856</v>
      </c>
      <c r="K35" s="159" t="str">
        <f t="shared" si="1"/>
        <v>A:3,98 x C:8,43 x L:3,05-4,30 x P:20.856kg</v>
      </c>
      <c r="N35" s="159" t="str">
        <f t="shared" si="0"/>
        <v>002453308</v>
      </c>
      <c r="O35" s="165">
        <v>2453308000118</v>
      </c>
      <c r="P35" s="159" t="s">
        <v>765</v>
      </c>
      <c r="Q35" s="159" t="s">
        <v>766</v>
      </c>
      <c r="R35" s="159" t="s">
        <v>767</v>
      </c>
      <c r="S35" s="155" t="s">
        <v>534</v>
      </c>
      <c r="V35" s="56" t="s">
        <v>52</v>
      </c>
      <c r="W35" s="55" t="s">
        <v>768</v>
      </c>
      <c r="X35" s="55" t="s">
        <v>769</v>
      </c>
      <c r="AA35" s="57" t="s">
        <v>770</v>
      </c>
    </row>
    <row r="36" spans="1:27" x14ac:dyDescent="0.3">
      <c r="A36" s="159">
        <v>1</v>
      </c>
      <c r="B36" s="159" t="s">
        <v>748</v>
      </c>
      <c r="C36" s="159" t="s">
        <v>528</v>
      </c>
      <c r="D36" s="159" t="s">
        <v>771</v>
      </c>
      <c r="E36" s="159" t="s">
        <v>771</v>
      </c>
      <c r="F36" s="160">
        <v>3.98</v>
      </c>
      <c r="G36" s="160">
        <v>8.43</v>
      </c>
      <c r="H36" s="160">
        <v>3.05</v>
      </c>
      <c r="I36" s="160">
        <v>4.3</v>
      </c>
      <c r="J36" s="161">
        <v>20856</v>
      </c>
      <c r="K36" s="159" t="str">
        <f t="shared" si="1"/>
        <v>A:3,98 x C:8,43 x L:3,05-4,30 x P:20.856kg</v>
      </c>
      <c r="N36" s="159" t="str">
        <f t="shared" si="0"/>
        <v>032752387</v>
      </c>
      <c r="O36" s="165">
        <v>32752387000129</v>
      </c>
      <c r="P36" s="159" t="s">
        <v>772</v>
      </c>
      <c r="Q36" s="159" t="s">
        <v>773</v>
      </c>
      <c r="R36" s="159" t="s">
        <v>542</v>
      </c>
      <c r="S36" s="2" t="s">
        <v>534</v>
      </c>
      <c r="AA36" s="57" t="s">
        <v>774</v>
      </c>
    </row>
    <row r="37" spans="1:27" x14ac:dyDescent="0.3">
      <c r="A37" s="159">
        <v>1</v>
      </c>
      <c r="B37" s="159" t="s">
        <v>748</v>
      </c>
      <c r="C37" s="159" t="s">
        <v>528</v>
      </c>
      <c r="D37" s="159" t="s">
        <v>775</v>
      </c>
      <c r="E37" s="159" t="s">
        <v>775</v>
      </c>
      <c r="F37" s="160">
        <v>3.98</v>
      </c>
      <c r="G37" s="160">
        <v>8.43</v>
      </c>
      <c r="H37" s="160">
        <v>3.05</v>
      </c>
      <c r="I37" s="160">
        <v>4.3</v>
      </c>
      <c r="J37" s="161">
        <v>21174</v>
      </c>
      <c r="K37" s="159" t="str">
        <f t="shared" si="1"/>
        <v>A:3,98 x C:8,43 x L:3,05-4,30 x P:21.174kg</v>
      </c>
      <c r="N37" s="159" t="str">
        <f t="shared" si="0"/>
        <v>036015029</v>
      </c>
      <c r="O37" s="165">
        <v>36015029000194</v>
      </c>
      <c r="P37" s="159" t="s">
        <v>776</v>
      </c>
      <c r="Q37" s="159" t="s">
        <v>777</v>
      </c>
      <c r="R37" s="159" t="s">
        <v>599</v>
      </c>
      <c r="S37" s="2" t="s">
        <v>534</v>
      </c>
      <c r="AA37" s="57" t="s">
        <v>778</v>
      </c>
    </row>
    <row r="38" spans="1:27" x14ac:dyDescent="0.3">
      <c r="A38" s="159">
        <v>1</v>
      </c>
      <c r="B38" s="159" t="s">
        <v>748</v>
      </c>
      <c r="C38" s="159" t="s">
        <v>528</v>
      </c>
      <c r="D38" s="159" t="s">
        <v>779</v>
      </c>
      <c r="E38" s="159" t="s">
        <v>779</v>
      </c>
      <c r="F38" s="160">
        <v>3.71</v>
      </c>
      <c r="G38" s="160">
        <v>8.5500000000000007</v>
      </c>
      <c r="H38" s="160">
        <v>3.05</v>
      </c>
      <c r="I38" s="160">
        <v>3.96</v>
      </c>
      <c r="J38" s="161">
        <v>25546</v>
      </c>
      <c r="K38" s="159" t="str">
        <f t="shared" si="1"/>
        <v>A:3,71 x C:8,55 x L:3,05-3,96 x P:25.546kg</v>
      </c>
      <c r="N38" s="159" t="str">
        <f t="shared" si="0"/>
        <v>053529331</v>
      </c>
      <c r="O38" s="165">
        <v>53529331000180</v>
      </c>
      <c r="P38" s="159" t="s">
        <v>780</v>
      </c>
      <c r="Q38" s="159" t="s">
        <v>781</v>
      </c>
      <c r="R38" s="159" t="s">
        <v>550</v>
      </c>
      <c r="S38" s="155" t="s">
        <v>534</v>
      </c>
      <c r="W38" s="7" t="s">
        <v>782</v>
      </c>
    </row>
    <row r="39" spans="1:27" x14ac:dyDescent="0.3">
      <c r="A39" s="159">
        <v>1</v>
      </c>
      <c r="B39" s="159" t="s">
        <v>748</v>
      </c>
      <c r="C39" s="159" t="s">
        <v>528</v>
      </c>
      <c r="D39" s="159" t="s">
        <v>783</v>
      </c>
      <c r="E39" s="159" t="s">
        <v>783</v>
      </c>
      <c r="F39" s="160">
        <v>3.71</v>
      </c>
      <c r="G39" s="160">
        <v>8.7100000000000009</v>
      </c>
      <c r="H39" s="160">
        <v>3.05</v>
      </c>
      <c r="I39" s="160">
        <v>3.96</v>
      </c>
      <c r="J39" s="161">
        <v>25546</v>
      </c>
      <c r="K39" s="159" t="str">
        <f t="shared" si="1"/>
        <v>A:3,71 x C:8,71 x L:3,05-3,96 x P:25.546kg</v>
      </c>
      <c r="N39" s="159" t="str">
        <f t="shared" si="0"/>
        <v>012772524</v>
      </c>
      <c r="O39" s="165">
        <v>12772524000180</v>
      </c>
      <c r="P39" s="159" t="s">
        <v>784</v>
      </c>
      <c r="Q39" s="159" t="s">
        <v>66</v>
      </c>
      <c r="R39" s="159" t="s">
        <v>599</v>
      </c>
      <c r="S39" s="155" t="s">
        <v>534</v>
      </c>
    </row>
    <row r="40" spans="1:27" x14ac:dyDescent="0.3">
      <c r="A40" s="159">
        <v>1</v>
      </c>
      <c r="B40" s="159" t="s">
        <v>748</v>
      </c>
      <c r="C40" s="159" t="s">
        <v>528</v>
      </c>
      <c r="D40" s="159" t="s">
        <v>785</v>
      </c>
      <c r="E40" s="159" t="s">
        <v>785</v>
      </c>
      <c r="F40" s="160">
        <v>3.71</v>
      </c>
      <c r="G40" s="160">
        <v>8.5500000000000007</v>
      </c>
      <c r="H40" s="160">
        <v>3.05</v>
      </c>
      <c r="I40" s="160">
        <v>3.96</v>
      </c>
      <c r="J40" s="161">
        <v>25546</v>
      </c>
      <c r="K40" s="159" t="str">
        <f t="shared" si="1"/>
        <v>A:3,71 x C:8,55 x L:3,05-3,96 x P:25.546kg</v>
      </c>
      <c r="N40" s="159" t="str">
        <f t="shared" si="0"/>
        <v>030823337</v>
      </c>
      <c r="O40" s="165">
        <v>30823337000160</v>
      </c>
      <c r="P40" s="159" t="s">
        <v>786</v>
      </c>
      <c r="Q40" s="159" t="s">
        <v>787</v>
      </c>
      <c r="R40" s="159" t="s">
        <v>599</v>
      </c>
      <c r="S40" s="155" t="s">
        <v>534</v>
      </c>
    </row>
    <row r="41" spans="1:27" x14ac:dyDescent="0.3">
      <c r="A41" s="159">
        <v>1</v>
      </c>
      <c r="B41" s="159" t="s">
        <v>748</v>
      </c>
      <c r="C41" s="159" t="s">
        <v>528</v>
      </c>
      <c r="D41" s="159" t="s">
        <v>788</v>
      </c>
      <c r="E41" s="159" t="s">
        <v>788</v>
      </c>
      <c r="F41" s="160">
        <v>3.78</v>
      </c>
      <c r="G41" s="160">
        <v>8.5500000000000007</v>
      </c>
      <c r="H41" s="160">
        <v>3.05</v>
      </c>
      <c r="I41" s="160">
        <v>3.96</v>
      </c>
      <c r="J41" s="161">
        <v>25546</v>
      </c>
      <c r="K41" s="159" t="str">
        <f t="shared" si="1"/>
        <v>A:3,78 x C:8,55 x L:3,05-3,96 x P:25.546kg</v>
      </c>
      <c r="N41" s="159" t="str">
        <f t="shared" si="0"/>
        <v>040895870</v>
      </c>
      <c r="O41" s="165">
        <v>40895870000190</v>
      </c>
      <c r="P41" s="159" t="s">
        <v>789</v>
      </c>
      <c r="Q41" s="159" t="s">
        <v>790</v>
      </c>
      <c r="R41" s="159" t="s">
        <v>566</v>
      </c>
      <c r="S41" s="155" t="s">
        <v>534</v>
      </c>
    </row>
    <row r="42" spans="1:27" x14ac:dyDescent="0.3">
      <c r="A42" s="159">
        <v>2</v>
      </c>
      <c r="B42" s="159" t="s">
        <v>6</v>
      </c>
      <c r="C42" s="159" t="s">
        <v>791</v>
      </c>
      <c r="D42" s="159" t="s">
        <v>792</v>
      </c>
      <c r="E42" s="159" t="s">
        <v>792</v>
      </c>
      <c r="F42" s="160">
        <v>4.0999999999999996</v>
      </c>
      <c r="G42" s="160">
        <v>7.7</v>
      </c>
      <c r="H42" s="160">
        <v>3.7</v>
      </c>
      <c r="I42" s="160">
        <v>4.0999999999999996</v>
      </c>
      <c r="J42" s="161">
        <v>10600</v>
      </c>
      <c r="K42" s="159" t="str">
        <f t="shared" si="1"/>
        <v>A:4,10 x C:7,70 x L:3,70-4,10 x P:10.600kg</v>
      </c>
      <c r="N42" s="159" t="str">
        <f t="shared" si="0"/>
        <v>078206513</v>
      </c>
      <c r="O42" s="165">
        <v>78206513000140</v>
      </c>
      <c r="P42" s="159" t="s">
        <v>793</v>
      </c>
      <c r="Q42" s="159" t="s">
        <v>408</v>
      </c>
      <c r="R42" s="159" t="s">
        <v>794</v>
      </c>
      <c r="S42" s="2" t="s">
        <v>795</v>
      </c>
    </row>
    <row r="43" spans="1:27" x14ac:dyDescent="0.3">
      <c r="A43" s="159">
        <v>2</v>
      </c>
      <c r="B43" s="159" t="s">
        <v>6</v>
      </c>
      <c r="C43" s="159" t="s">
        <v>791</v>
      </c>
      <c r="D43" s="159" t="s">
        <v>796</v>
      </c>
      <c r="E43" s="159" t="s">
        <v>796</v>
      </c>
      <c r="F43" s="160">
        <v>4.0999999999999996</v>
      </c>
      <c r="G43" s="160">
        <v>7.7</v>
      </c>
      <c r="H43" s="160">
        <v>3.4</v>
      </c>
      <c r="I43" s="160">
        <v>4.0999999999999996</v>
      </c>
      <c r="J43" s="161">
        <v>11800</v>
      </c>
      <c r="K43" s="159" t="str">
        <f t="shared" si="1"/>
        <v>A:4,10 x C:7,70 x L:3,40-4,10 x P:11.800kg</v>
      </c>
      <c r="N43" s="159" t="str">
        <f t="shared" si="0"/>
        <v>050435638</v>
      </c>
      <c r="O43" s="165">
        <v>50435638000123</v>
      </c>
      <c r="P43" s="159" t="s">
        <v>797</v>
      </c>
      <c r="Q43" s="159" t="s">
        <v>422</v>
      </c>
      <c r="R43" s="159" t="s">
        <v>599</v>
      </c>
      <c r="S43" s="155" t="s">
        <v>795</v>
      </c>
    </row>
    <row r="44" spans="1:27" x14ac:dyDescent="0.3">
      <c r="A44" s="159">
        <v>2</v>
      </c>
      <c r="B44" s="159" t="s">
        <v>6</v>
      </c>
      <c r="C44" s="159" t="s">
        <v>791</v>
      </c>
      <c r="D44" s="159" t="s">
        <v>798</v>
      </c>
      <c r="E44" s="159" t="s">
        <v>798</v>
      </c>
      <c r="F44" s="160">
        <v>4.0999999999999996</v>
      </c>
      <c r="G44" s="160">
        <v>6.68</v>
      </c>
      <c r="H44" s="160">
        <v>3.2</v>
      </c>
      <c r="I44" s="160">
        <v>3.3</v>
      </c>
      <c r="J44" s="161">
        <v>14000</v>
      </c>
      <c r="K44" s="159" t="str">
        <f t="shared" si="1"/>
        <v>A:4,10 x C:6,68 x L:3,20-3,30 x P:14.000kg</v>
      </c>
      <c r="N44" s="159" t="str">
        <f t="shared" si="0"/>
        <v>038052835</v>
      </c>
      <c r="O44" s="165">
        <v>38052835000168</v>
      </c>
      <c r="P44" s="159" t="s">
        <v>799</v>
      </c>
      <c r="Q44" s="159" t="s">
        <v>800</v>
      </c>
      <c r="R44" s="159" t="s">
        <v>599</v>
      </c>
      <c r="S44" s="2" t="s">
        <v>795</v>
      </c>
    </row>
    <row r="45" spans="1:27" x14ac:dyDescent="0.3">
      <c r="A45" s="159">
        <v>2</v>
      </c>
      <c r="B45" s="159" t="s">
        <v>6</v>
      </c>
      <c r="C45" s="159" t="s">
        <v>791</v>
      </c>
      <c r="D45" s="159" t="s">
        <v>801</v>
      </c>
      <c r="E45" s="159" t="s">
        <v>801</v>
      </c>
      <c r="F45" s="160">
        <v>3.8</v>
      </c>
      <c r="G45" s="160">
        <v>10</v>
      </c>
      <c r="H45" s="160">
        <v>3.7</v>
      </c>
      <c r="I45" s="160">
        <v>4.2</v>
      </c>
      <c r="J45" s="161">
        <v>15938</v>
      </c>
      <c r="K45" s="159" t="str">
        <f t="shared" si="1"/>
        <v>A:3,80 x C:10,00 x L:3,70-4,20 x P:15.938kg</v>
      </c>
      <c r="N45" s="159" t="str">
        <f t="shared" si="0"/>
        <v>017489822</v>
      </c>
      <c r="O45" s="165">
        <v>17489822000180</v>
      </c>
      <c r="P45" s="159" t="s">
        <v>802</v>
      </c>
      <c r="Q45" s="159" t="s">
        <v>803</v>
      </c>
      <c r="R45" s="159" t="s">
        <v>599</v>
      </c>
      <c r="S45" s="155" t="s">
        <v>795</v>
      </c>
    </row>
    <row r="46" spans="1:27" x14ac:dyDescent="0.3">
      <c r="A46" s="159">
        <v>2</v>
      </c>
      <c r="B46" s="159" t="s">
        <v>6</v>
      </c>
      <c r="C46" s="159" t="s">
        <v>791</v>
      </c>
      <c r="D46" s="159" t="s">
        <v>804</v>
      </c>
      <c r="E46" s="159" t="s">
        <v>804</v>
      </c>
      <c r="F46" s="160">
        <v>3.98</v>
      </c>
      <c r="G46" s="160">
        <v>10.5</v>
      </c>
      <c r="H46" s="160">
        <v>3.4</v>
      </c>
      <c r="I46" s="160">
        <v>5.2</v>
      </c>
      <c r="J46" s="161">
        <v>18599</v>
      </c>
      <c r="K46" s="159" t="str">
        <f t="shared" si="1"/>
        <v>A:3,98 x C:10,50 x L:3,40-5,20 x P:18.599kg</v>
      </c>
      <c r="N46" s="159" t="str">
        <f t="shared" si="0"/>
        <v>061234985</v>
      </c>
      <c r="O46" s="165">
        <v>61234985014164</v>
      </c>
      <c r="P46" s="159" t="s">
        <v>805</v>
      </c>
      <c r="Q46" s="159" t="s">
        <v>806</v>
      </c>
      <c r="R46" s="159" t="s">
        <v>807</v>
      </c>
      <c r="S46" s="2" t="s">
        <v>795</v>
      </c>
    </row>
    <row r="47" spans="1:27" x14ac:dyDescent="0.3">
      <c r="A47" s="159">
        <v>2</v>
      </c>
      <c r="B47" s="159" t="s">
        <v>6</v>
      </c>
      <c r="C47" s="159" t="s">
        <v>791</v>
      </c>
      <c r="D47" s="159" t="s">
        <v>808</v>
      </c>
      <c r="E47" s="159" t="s">
        <v>808</v>
      </c>
      <c r="F47" s="160">
        <v>3.98</v>
      </c>
      <c r="G47" s="160">
        <v>10.5</v>
      </c>
      <c r="H47" s="160">
        <v>3.4</v>
      </c>
      <c r="I47" s="160">
        <v>5.2</v>
      </c>
      <c r="J47" s="161">
        <v>19226</v>
      </c>
      <c r="K47" s="159" t="str">
        <f t="shared" si="1"/>
        <v>A:3,98 x C:10,50 x L:3,40-5,20 x P:19.226kg</v>
      </c>
      <c r="N47" s="159" t="str">
        <f t="shared" si="0"/>
        <v>061234985</v>
      </c>
      <c r="O47" s="165">
        <v>61234985000961</v>
      </c>
      <c r="P47" s="159" t="s">
        <v>805</v>
      </c>
      <c r="Q47" s="159" t="s">
        <v>806</v>
      </c>
      <c r="R47" s="159" t="s">
        <v>659</v>
      </c>
      <c r="S47" s="155" t="s">
        <v>795</v>
      </c>
    </row>
    <row r="48" spans="1:27" x14ac:dyDescent="0.3">
      <c r="A48" s="159">
        <v>2</v>
      </c>
      <c r="B48" s="159" t="s">
        <v>6</v>
      </c>
      <c r="C48" s="159" t="s">
        <v>791</v>
      </c>
      <c r="D48" s="159" t="s">
        <v>809</v>
      </c>
      <c r="E48" s="159" t="s">
        <v>809</v>
      </c>
      <c r="F48" s="160">
        <v>3.98</v>
      </c>
      <c r="G48" s="160">
        <v>12.1</v>
      </c>
      <c r="H48" s="160">
        <v>3.5</v>
      </c>
      <c r="I48" s="160">
        <v>5.43</v>
      </c>
      <c r="J48" s="161">
        <v>21921</v>
      </c>
      <c r="K48" s="159" t="str">
        <f t="shared" si="1"/>
        <v>A:3,98 x C:12,10 x L:3,50-5,43 x P:21.921kg</v>
      </c>
      <c r="N48" s="159" t="str">
        <f t="shared" si="0"/>
        <v>061234985</v>
      </c>
      <c r="O48" s="165">
        <v>61234985015993</v>
      </c>
      <c r="P48" s="159" t="s">
        <v>805</v>
      </c>
      <c r="Q48" s="159" t="s">
        <v>806</v>
      </c>
      <c r="R48" s="159" t="s">
        <v>794</v>
      </c>
      <c r="S48" s="2" t="s">
        <v>795</v>
      </c>
    </row>
    <row r="49" spans="1:19" x14ac:dyDescent="0.3">
      <c r="A49" s="159">
        <v>2</v>
      </c>
      <c r="B49" s="159" t="s">
        <v>6</v>
      </c>
      <c r="C49" s="159" t="s">
        <v>791</v>
      </c>
      <c r="D49" s="159" t="s">
        <v>810</v>
      </c>
      <c r="E49" s="159" t="s">
        <v>810</v>
      </c>
      <c r="F49" s="160">
        <v>3.98</v>
      </c>
      <c r="G49" s="160">
        <v>12.1</v>
      </c>
      <c r="H49" s="160">
        <v>3.5</v>
      </c>
      <c r="I49" s="160">
        <v>5.43</v>
      </c>
      <c r="J49" s="161">
        <v>22185</v>
      </c>
      <c r="K49" s="159" t="str">
        <f t="shared" si="1"/>
        <v>A:3,98 x C:12,10 x L:3,50-5,43 x P:22.185kg</v>
      </c>
      <c r="N49" s="159" t="str">
        <f t="shared" si="0"/>
        <v>061234985</v>
      </c>
      <c r="O49" s="165">
        <v>61234985015306</v>
      </c>
      <c r="P49" s="159" t="s">
        <v>805</v>
      </c>
      <c r="Q49" s="159" t="s">
        <v>806</v>
      </c>
      <c r="R49" s="159" t="s">
        <v>566</v>
      </c>
      <c r="S49" s="155" t="s">
        <v>795</v>
      </c>
    </row>
    <row r="50" spans="1:19" x14ac:dyDescent="0.3">
      <c r="A50" s="159">
        <v>2</v>
      </c>
      <c r="B50" s="159" t="s">
        <v>6</v>
      </c>
      <c r="C50" s="159" t="s">
        <v>791</v>
      </c>
      <c r="D50" s="159" t="s">
        <v>811</v>
      </c>
      <c r="E50" s="159" t="s">
        <v>811</v>
      </c>
      <c r="F50" s="160">
        <v>4</v>
      </c>
      <c r="G50" s="160">
        <v>10.6</v>
      </c>
      <c r="H50" s="160">
        <v>3.5</v>
      </c>
      <c r="I50" s="160">
        <v>5.2</v>
      </c>
      <c r="J50" s="161">
        <v>18599</v>
      </c>
      <c r="K50" s="159" t="str">
        <f t="shared" si="1"/>
        <v>A:4,00 x C:10,60 x L:3,50-5,20 x P:18.599kg</v>
      </c>
      <c r="N50" s="159" t="str">
        <f t="shared" si="0"/>
        <v>061234985</v>
      </c>
      <c r="O50" s="165">
        <v>61234985015560</v>
      </c>
      <c r="P50" s="159" t="s">
        <v>805</v>
      </c>
      <c r="Q50" s="159" t="s">
        <v>806</v>
      </c>
      <c r="R50" s="159" t="s">
        <v>599</v>
      </c>
      <c r="S50" s="155" t="s">
        <v>795</v>
      </c>
    </row>
    <row r="51" spans="1:19" x14ac:dyDescent="0.3">
      <c r="A51" s="159">
        <v>2</v>
      </c>
      <c r="B51" s="159" t="s">
        <v>6</v>
      </c>
      <c r="C51" s="159" t="s">
        <v>791</v>
      </c>
      <c r="D51" s="159" t="s">
        <v>812</v>
      </c>
      <c r="E51" s="159" t="s">
        <v>812</v>
      </c>
      <c r="F51" s="160">
        <v>4</v>
      </c>
      <c r="G51" s="160">
        <v>10.5</v>
      </c>
      <c r="H51" s="160">
        <v>3.5</v>
      </c>
      <c r="I51" s="160">
        <v>5.2</v>
      </c>
      <c r="J51" s="161">
        <v>19226</v>
      </c>
      <c r="K51" s="159" t="str">
        <f t="shared" si="1"/>
        <v>A:4,00 x C:10,50 x L:3,50-5,20 x P:19.226kg</v>
      </c>
      <c r="N51" s="159" t="str">
        <f t="shared" si="0"/>
        <v>061234985</v>
      </c>
      <c r="O51" s="165">
        <v>61234985012544</v>
      </c>
      <c r="P51" s="159" t="s">
        <v>805</v>
      </c>
      <c r="Q51" s="159" t="s">
        <v>806</v>
      </c>
      <c r="R51" s="159" t="s">
        <v>813</v>
      </c>
      <c r="S51" s="155" t="s">
        <v>795</v>
      </c>
    </row>
    <row r="52" spans="1:19" x14ac:dyDescent="0.3">
      <c r="A52" s="159">
        <v>2</v>
      </c>
      <c r="B52" s="159" t="s">
        <v>6</v>
      </c>
      <c r="C52" s="159" t="s">
        <v>791</v>
      </c>
      <c r="D52" s="159" t="s">
        <v>814</v>
      </c>
      <c r="E52" s="159" t="s">
        <v>814</v>
      </c>
      <c r="F52" s="160">
        <v>4</v>
      </c>
      <c r="G52" s="160">
        <v>12.1</v>
      </c>
      <c r="H52" s="160">
        <v>3.5</v>
      </c>
      <c r="I52" s="160">
        <v>5.43</v>
      </c>
      <c r="J52" s="161">
        <v>21921</v>
      </c>
      <c r="K52" s="159" t="str">
        <f t="shared" si="1"/>
        <v>A:4,00 x C:12,10 x L:3,50-5,43 x P:21.921kg</v>
      </c>
      <c r="N52" s="159" t="str">
        <f t="shared" si="0"/>
        <v>000472957</v>
      </c>
      <c r="O52" s="165">
        <v>472957000300</v>
      </c>
      <c r="P52" s="159" t="s">
        <v>815</v>
      </c>
      <c r="Q52" s="159" t="s">
        <v>816</v>
      </c>
      <c r="R52" s="159" t="s">
        <v>606</v>
      </c>
      <c r="S52" s="155" t="s">
        <v>795</v>
      </c>
    </row>
    <row r="53" spans="1:19" x14ac:dyDescent="0.3">
      <c r="A53" s="159">
        <v>2</v>
      </c>
      <c r="B53" s="159" t="s">
        <v>6</v>
      </c>
      <c r="C53" s="159" t="s">
        <v>791</v>
      </c>
      <c r="D53" s="159" t="s">
        <v>817</v>
      </c>
      <c r="E53" s="159" t="s">
        <v>817</v>
      </c>
      <c r="F53" s="160">
        <v>4</v>
      </c>
      <c r="G53" s="160">
        <v>12.1</v>
      </c>
      <c r="H53" s="160">
        <v>3.5</v>
      </c>
      <c r="I53" s="160">
        <v>5.43</v>
      </c>
      <c r="J53" s="161">
        <v>22185</v>
      </c>
      <c r="K53" s="159" t="str">
        <f t="shared" si="1"/>
        <v>A:4,00 x C:12,10 x L:3,50-5,43 x P:22.185kg</v>
      </c>
      <c r="N53" s="159" t="str">
        <f t="shared" si="0"/>
        <v>000472957</v>
      </c>
      <c r="O53" s="165">
        <v>472957000130</v>
      </c>
      <c r="P53" s="159" t="s">
        <v>815</v>
      </c>
      <c r="Q53" s="159" t="s">
        <v>816</v>
      </c>
      <c r="R53" s="159" t="s">
        <v>599</v>
      </c>
      <c r="S53" s="2" t="s">
        <v>795</v>
      </c>
    </row>
    <row r="54" spans="1:19" x14ac:dyDescent="0.3">
      <c r="A54" s="159">
        <v>3</v>
      </c>
      <c r="B54" s="159" t="s">
        <v>8</v>
      </c>
      <c r="C54" s="159" t="s">
        <v>818</v>
      </c>
      <c r="D54" s="159" t="s">
        <v>819</v>
      </c>
      <c r="E54" s="159" t="s">
        <v>820</v>
      </c>
      <c r="F54" s="160">
        <v>1.5</v>
      </c>
      <c r="G54" s="160">
        <v>5</v>
      </c>
      <c r="H54" s="160">
        <v>1.9</v>
      </c>
      <c r="I54" s="160">
        <v>1.9</v>
      </c>
      <c r="J54" s="161">
        <v>2000</v>
      </c>
      <c r="K54" s="159" t="str">
        <f t="shared" si="1"/>
        <v>A:1,50 x C:5,00 x L:1,90-1,90 x P:2.000kg</v>
      </c>
      <c r="N54" s="159" t="str">
        <f t="shared" si="0"/>
        <v>076669324</v>
      </c>
      <c r="O54" s="165">
        <v>76669324000189</v>
      </c>
      <c r="P54" s="159" t="s">
        <v>821</v>
      </c>
      <c r="Q54" s="159" t="s">
        <v>441</v>
      </c>
      <c r="R54" s="159" t="s">
        <v>794</v>
      </c>
      <c r="S54" s="2" t="s">
        <v>795</v>
      </c>
    </row>
    <row r="55" spans="1:19" x14ac:dyDescent="0.3">
      <c r="A55" s="159">
        <v>3</v>
      </c>
      <c r="B55" s="159" t="s">
        <v>8</v>
      </c>
      <c r="C55" s="159" t="s">
        <v>818</v>
      </c>
      <c r="D55" s="159" t="s">
        <v>822</v>
      </c>
      <c r="E55" s="159" t="s">
        <v>823</v>
      </c>
      <c r="F55" s="160">
        <v>1.5</v>
      </c>
      <c r="G55" s="160">
        <v>5.5</v>
      </c>
      <c r="H55" s="160">
        <v>1.9</v>
      </c>
      <c r="I55" s="160">
        <v>1.9</v>
      </c>
      <c r="J55" s="161">
        <v>2200</v>
      </c>
      <c r="K55" s="159" t="str">
        <f t="shared" si="1"/>
        <v>A:1,50 x C:5,50 x L:1,90-1,90 x P:2.200kg</v>
      </c>
      <c r="N55" s="159" t="str">
        <f t="shared" si="0"/>
        <v>004892707</v>
      </c>
      <c r="O55" s="165">
        <v>4892707000100</v>
      </c>
      <c r="P55" s="159" t="s">
        <v>824</v>
      </c>
      <c r="Q55" s="159" t="s">
        <v>404</v>
      </c>
      <c r="R55" s="159" t="s">
        <v>825</v>
      </c>
      <c r="S55" s="2" t="s">
        <v>795</v>
      </c>
    </row>
    <row r="56" spans="1:19" x14ac:dyDescent="0.3">
      <c r="A56" s="159">
        <v>3</v>
      </c>
      <c r="B56" s="159" t="s">
        <v>8</v>
      </c>
      <c r="C56" s="159" t="s">
        <v>818</v>
      </c>
      <c r="D56" s="159" t="s">
        <v>826</v>
      </c>
      <c r="E56" s="159" t="s">
        <v>827</v>
      </c>
      <c r="F56" s="160">
        <v>1.5</v>
      </c>
      <c r="G56" s="160">
        <v>6</v>
      </c>
      <c r="H56" s="160">
        <v>1.9</v>
      </c>
      <c r="I56" s="160">
        <v>1.9</v>
      </c>
      <c r="J56" s="161">
        <v>2400</v>
      </c>
      <c r="K56" s="159" t="str">
        <f t="shared" si="1"/>
        <v>A:1,50 x C:6,00 x L:1,90-1,90 x P:2.400kg</v>
      </c>
      <c r="N56" s="159" t="str">
        <f t="shared" si="0"/>
        <v>007516914</v>
      </c>
      <c r="O56" s="165">
        <v>7516914000159</v>
      </c>
      <c r="P56" s="159" t="s">
        <v>828</v>
      </c>
      <c r="Q56" s="159" t="s">
        <v>829</v>
      </c>
      <c r="R56" s="159" t="s">
        <v>830</v>
      </c>
      <c r="S56" s="2" t="s">
        <v>795</v>
      </c>
    </row>
    <row r="57" spans="1:19" x14ac:dyDescent="0.3">
      <c r="A57" s="159">
        <v>3</v>
      </c>
      <c r="B57" s="159" t="s">
        <v>8</v>
      </c>
      <c r="C57" s="159" t="s">
        <v>818</v>
      </c>
      <c r="D57" s="159" t="s">
        <v>831</v>
      </c>
      <c r="E57" s="159" t="s">
        <v>832</v>
      </c>
      <c r="F57" s="160">
        <v>1.5</v>
      </c>
      <c r="G57" s="160">
        <v>6.5</v>
      </c>
      <c r="H57" s="160">
        <v>1.9</v>
      </c>
      <c r="I57" s="160">
        <v>1.9</v>
      </c>
      <c r="J57" s="161">
        <v>2600</v>
      </c>
      <c r="K57" s="159" t="str">
        <f t="shared" si="1"/>
        <v>A:1,50 x C:6,50 x L:1,90-1,90 x P:2.600kg</v>
      </c>
      <c r="N57" s="159" t="str">
        <f t="shared" si="0"/>
        <v>045585920</v>
      </c>
      <c r="O57" s="165">
        <v>45585920000157</v>
      </c>
      <c r="P57" s="159" t="s">
        <v>833</v>
      </c>
      <c r="Q57" s="159" t="s">
        <v>834</v>
      </c>
      <c r="R57" s="159" t="s">
        <v>599</v>
      </c>
      <c r="S57" s="2" t="s">
        <v>795</v>
      </c>
    </row>
    <row r="58" spans="1:19" x14ac:dyDescent="0.3">
      <c r="A58" s="159">
        <v>3</v>
      </c>
      <c r="B58" s="159" t="s">
        <v>8</v>
      </c>
      <c r="C58" s="159" t="s">
        <v>818</v>
      </c>
      <c r="D58" s="159" t="s">
        <v>835</v>
      </c>
      <c r="E58" s="159" t="s">
        <v>836</v>
      </c>
      <c r="F58" s="160">
        <v>1.5</v>
      </c>
      <c r="G58" s="160">
        <v>7</v>
      </c>
      <c r="H58" s="160">
        <v>1.9</v>
      </c>
      <c r="I58" s="160">
        <v>1.9</v>
      </c>
      <c r="J58" s="161">
        <v>2800</v>
      </c>
      <c r="K58" s="159" t="str">
        <f t="shared" si="1"/>
        <v>A:1,50 x C:7,00 x L:1,90-1,90 x P:2.800kg</v>
      </c>
      <c r="N58" s="159" t="str">
        <f t="shared" si="0"/>
        <v>041544387</v>
      </c>
      <c r="O58" s="165">
        <v>41544387000124</v>
      </c>
      <c r="P58" s="159" t="s">
        <v>837</v>
      </c>
      <c r="Q58" s="159" t="s">
        <v>838</v>
      </c>
      <c r="R58" s="159" t="s">
        <v>839</v>
      </c>
      <c r="S58" s="2" t="s">
        <v>795</v>
      </c>
    </row>
    <row r="59" spans="1:19" x14ac:dyDescent="0.3">
      <c r="A59" s="159">
        <v>3</v>
      </c>
      <c r="B59" s="159" t="s">
        <v>8</v>
      </c>
      <c r="C59" s="159" t="s">
        <v>818</v>
      </c>
      <c r="D59" s="159" t="s">
        <v>840</v>
      </c>
      <c r="E59" s="159" t="s">
        <v>841</v>
      </c>
      <c r="F59" s="160">
        <v>1.5</v>
      </c>
      <c r="G59" s="160">
        <v>7.5</v>
      </c>
      <c r="H59" s="160">
        <v>1.9</v>
      </c>
      <c r="I59" s="160">
        <v>1.9</v>
      </c>
      <c r="J59" s="161">
        <v>3000</v>
      </c>
      <c r="K59" s="159" t="str">
        <f t="shared" si="1"/>
        <v>A:1,50 x C:7,50 x L:1,90-1,90 x P:3.000kg</v>
      </c>
      <c r="N59" s="159" t="str">
        <f t="shared" si="0"/>
        <v>016671210</v>
      </c>
      <c r="O59" s="165">
        <v>16671210000222</v>
      </c>
      <c r="P59" s="159" t="s">
        <v>842</v>
      </c>
      <c r="Q59" s="159" t="s">
        <v>843</v>
      </c>
      <c r="R59" s="159" t="s">
        <v>844</v>
      </c>
      <c r="S59" s="2" t="s">
        <v>795</v>
      </c>
    </row>
    <row r="60" spans="1:19" x14ac:dyDescent="0.3">
      <c r="A60" s="159">
        <v>3</v>
      </c>
      <c r="B60" s="159" t="s">
        <v>8</v>
      </c>
      <c r="C60" s="159" t="s">
        <v>818</v>
      </c>
      <c r="D60" s="159" t="s">
        <v>845</v>
      </c>
      <c r="E60" s="159" t="s">
        <v>846</v>
      </c>
      <c r="F60" s="160">
        <v>1.5</v>
      </c>
      <c r="G60" s="160">
        <v>8</v>
      </c>
      <c r="H60" s="160">
        <v>1.9</v>
      </c>
      <c r="I60" s="160">
        <v>1.9</v>
      </c>
      <c r="J60" s="161">
        <v>3200</v>
      </c>
      <c r="K60" s="159" t="str">
        <f t="shared" si="1"/>
        <v>A:1,50 x C:8,00 x L:1,90-1,90 x P:3.200kg</v>
      </c>
      <c r="N60" s="159" t="str">
        <f t="shared" si="0"/>
        <v>016671210</v>
      </c>
      <c r="O60" s="165">
        <v>16671210000141</v>
      </c>
      <c r="P60" s="159" t="s">
        <v>842</v>
      </c>
      <c r="Q60" s="159" t="s">
        <v>843</v>
      </c>
      <c r="R60" s="159" t="s">
        <v>599</v>
      </c>
      <c r="S60" s="2" t="s">
        <v>795</v>
      </c>
    </row>
    <row r="61" spans="1:19" x14ac:dyDescent="0.3">
      <c r="A61" s="159">
        <v>3</v>
      </c>
      <c r="B61" s="159" t="s">
        <v>8</v>
      </c>
      <c r="C61" s="159" t="s">
        <v>818</v>
      </c>
      <c r="D61" s="159" t="s">
        <v>847</v>
      </c>
      <c r="E61" s="159" t="s">
        <v>848</v>
      </c>
      <c r="F61" s="160">
        <v>1.5</v>
      </c>
      <c r="G61" s="160">
        <v>8.5</v>
      </c>
      <c r="H61" s="160">
        <v>1.9</v>
      </c>
      <c r="I61" s="160">
        <v>1.9</v>
      </c>
      <c r="J61" s="161">
        <v>3400</v>
      </c>
      <c r="K61" s="159" t="str">
        <f t="shared" si="1"/>
        <v>A:1,50 x C:8,50 x L:1,90-1,90 x P:3.400kg</v>
      </c>
      <c r="N61" s="159" t="str">
        <f t="shared" si="0"/>
        <v>085004729</v>
      </c>
      <c r="O61" s="165">
        <v>85004729000199</v>
      </c>
      <c r="P61" s="159" t="s">
        <v>849</v>
      </c>
      <c r="Q61" s="159" t="s">
        <v>850</v>
      </c>
      <c r="R61" s="159" t="s">
        <v>599</v>
      </c>
      <c r="S61" s="2" t="s">
        <v>795</v>
      </c>
    </row>
    <row r="62" spans="1:19" x14ac:dyDescent="0.3">
      <c r="A62" s="159">
        <v>3</v>
      </c>
      <c r="B62" s="159" t="s">
        <v>8</v>
      </c>
      <c r="C62" s="159" t="s">
        <v>818</v>
      </c>
      <c r="D62" s="159" t="s">
        <v>851</v>
      </c>
      <c r="E62" s="159" t="s">
        <v>852</v>
      </c>
      <c r="F62" s="160">
        <v>1.5</v>
      </c>
      <c r="G62" s="160">
        <v>9</v>
      </c>
      <c r="H62" s="160">
        <v>1.9</v>
      </c>
      <c r="I62" s="160">
        <v>1.9</v>
      </c>
      <c r="J62" s="161">
        <v>3600</v>
      </c>
      <c r="K62" s="159" t="str">
        <f t="shared" si="1"/>
        <v>A:1,50 x C:9,00 x L:1,90-1,90 x P:3.600kg</v>
      </c>
      <c r="N62" s="159" t="str">
        <f t="shared" si="0"/>
        <v>014540032</v>
      </c>
      <c r="O62" s="165">
        <v>14540032000194</v>
      </c>
      <c r="P62" s="159" t="s">
        <v>853</v>
      </c>
      <c r="Q62" s="159" t="s">
        <v>854</v>
      </c>
      <c r="R62" s="159" t="s">
        <v>599</v>
      </c>
      <c r="S62" s="2" t="s">
        <v>795</v>
      </c>
    </row>
    <row r="63" spans="1:19" x14ac:dyDescent="0.3">
      <c r="A63" s="159">
        <v>3</v>
      </c>
      <c r="B63" s="159" t="s">
        <v>8</v>
      </c>
      <c r="C63" s="159" t="s">
        <v>818</v>
      </c>
      <c r="D63" s="159" t="s">
        <v>855</v>
      </c>
      <c r="E63" s="159" t="s">
        <v>856</v>
      </c>
      <c r="F63" s="160">
        <v>1.5</v>
      </c>
      <c r="G63" s="160">
        <v>9.5</v>
      </c>
      <c r="H63" s="160">
        <v>1.9</v>
      </c>
      <c r="I63" s="160">
        <v>1.9</v>
      </c>
      <c r="J63" s="161">
        <v>3800</v>
      </c>
      <c r="K63" s="159" t="str">
        <f t="shared" si="1"/>
        <v>A:1,50 x C:9,50 x L:1,90-1,90 x P:3.800kg</v>
      </c>
      <c r="N63" s="159" t="str">
        <f t="shared" si="0"/>
        <v>072032824</v>
      </c>
      <c r="O63" s="165">
        <v>72032824000154</v>
      </c>
      <c r="P63" s="159" t="s">
        <v>857</v>
      </c>
      <c r="Q63" s="159" t="s">
        <v>858</v>
      </c>
      <c r="R63" s="159" t="s">
        <v>599</v>
      </c>
      <c r="S63" s="2" t="s">
        <v>795</v>
      </c>
    </row>
    <row r="64" spans="1:19" x14ac:dyDescent="0.3">
      <c r="A64" s="159">
        <v>3</v>
      </c>
      <c r="B64" s="159" t="s">
        <v>8</v>
      </c>
      <c r="C64" s="159" t="s">
        <v>818</v>
      </c>
      <c r="D64" s="159" t="s">
        <v>859</v>
      </c>
      <c r="E64" s="159" t="s">
        <v>860</v>
      </c>
      <c r="F64" s="160">
        <v>1.5</v>
      </c>
      <c r="G64" s="160">
        <v>10</v>
      </c>
      <c r="H64" s="160">
        <v>1.9</v>
      </c>
      <c r="I64" s="160">
        <v>1.9</v>
      </c>
      <c r="J64" s="161">
        <v>4000</v>
      </c>
      <c r="K64" s="159" t="str">
        <f t="shared" si="1"/>
        <v>A:1,50 x C:10,00 x L:1,90-1,90 x P:4.000kg</v>
      </c>
      <c r="N64" s="159" t="str">
        <f t="shared" si="0"/>
        <v>037969440</v>
      </c>
      <c r="O64" s="165">
        <v>37969440000161</v>
      </c>
      <c r="P64" s="159" t="s">
        <v>861</v>
      </c>
      <c r="Q64" s="159" t="s">
        <v>475</v>
      </c>
      <c r="R64" s="159" t="s">
        <v>599</v>
      </c>
      <c r="S64" s="2" t="s">
        <v>795</v>
      </c>
    </row>
    <row r="65" spans="1:19" x14ac:dyDescent="0.3">
      <c r="A65" s="159">
        <v>3</v>
      </c>
      <c r="B65" s="159" t="s">
        <v>8</v>
      </c>
      <c r="C65" s="159" t="s">
        <v>818</v>
      </c>
      <c r="D65" s="159" t="s">
        <v>862</v>
      </c>
      <c r="E65" s="159" t="s">
        <v>863</v>
      </c>
      <c r="F65" s="160">
        <v>1.5</v>
      </c>
      <c r="G65" s="160">
        <v>10.5</v>
      </c>
      <c r="H65" s="160">
        <v>1.9</v>
      </c>
      <c r="I65" s="160">
        <v>1.9</v>
      </c>
      <c r="J65" s="161">
        <v>4200</v>
      </c>
      <c r="K65" s="159" t="str">
        <f t="shared" si="1"/>
        <v>A:1,50 x C:10,50 x L:1,90-1,90 x P:4.200kg</v>
      </c>
      <c r="N65" s="159" t="str">
        <f t="shared" si="0"/>
        <v>020110520</v>
      </c>
      <c r="O65" s="165">
        <v>20110520000164</v>
      </c>
      <c r="P65" s="159" t="s">
        <v>864</v>
      </c>
      <c r="Q65" s="159" t="s">
        <v>865</v>
      </c>
      <c r="R65" s="159" t="s">
        <v>599</v>
      </c>
      <c r="S65" s="2" t="s">
        <v>795</v>
      </c>
    </row>
    <row r="66" spans="1:19" x14ac:dyDescent="0.3">
      <c r="A66" s="159">
        <v>3</v>
      </c>
      <c r="B66" s="159" t="s">
        <v>8</v>
      </c>
      <c r="C66" s="159" t="s">
        <v>818</v>
      </c>
      <c r="D66" s="159" t="s">
        <v>866</v>
      </c>
      <c r="E66" s="159" t="s">
        <v>867</v>
      </c>
      <c r="F66" s="160">
        <v>1.5</v>
      </c>
      <c r="G66" s="160">
        <v>11</v>
      </c>
      <c r="H66" s="160">
        <v>1.9</v>
      </c>
      <c r="I66" s="160">
        <v>1.9</v>
      </c>
      <c r="J66" s="161">
        <v>4400</v>
      </c>
      <c r="K66" s="159" t="str">
        <f t="shared" si="1"/>
        <v>A:1,50 x C:11,00 x L:1,90-1,90 x P:4.400kg</v>
      </c>
      <c r="N66" s="159" t="str">
        <f t="shared" ref="N66:N129" si="2">"0"&amp;LEFT(TEXT(SUBSTITUTE(SUBSTITUTE(SUBSTITUTE(O66,".",""),"/",""),"-",""),"00000000000000"),8)</f>
        <v>009167582</v>
      </c>
      <c r="O66" s="165">
        <v>9167582000170</v>
      </c>
      <c r="P66" s="159" t="s">
        <v>868</v>
      </c>
      <c r="Q66" s="159" t="s">
        <v>869</v>
      </c>
      <c r="R66" s="159" t="s">
        <v>599</v>
      </c>
      <c r="S66" s="2" t="s">
        <v>795</v>
      </c>
    </row>
    <row r="67" spans="1:19" x14ac:dyDescent="0.3">
      <c r="A67" s="159">
        <v>3</v>
      </c>
      <c r="B67" s="159" t="s">
        <v>8</v>
      </c>
      <c r="C67" s="159" t="s">
        <v>818</v>
      </c>
      <c r="D67" s="159" t="s">
        <v>870</v>
      </c>
      <c r="E67" s="159" t="s">
        <v>871</v>
      </c>
      <c r="F67" s="160">
        <v>1.5</v>
      </c>
      <c r="G67" s="160">
        <v>11.5</v>
      </c>
      <c r="H67" s="160">
        <v>1.9</v>
      </c>
      <c r="I67" s="160">
        <v>1.9</v>
      </c>
      <c r="J67" s="161">
        <v>4600</v>
      </c>
      <c r="K67" s="159" t="str">
        <f t="shared" ref="K67:K130" si="3">"A:"&amp;TEXT(F67,"0,00")&amp;" x C:"&amp;TEXT(G67,"0,00")&amp;" x L:"&amp;TEXT(H67,"0,00")&amp;"-"&amp;TEXT(I67,"0,00")&amp;" x P:"&amp;TEXT(J67,"0.00")&amp;"kg"</f>
        <v>A:1,50 x C:11,50 x L:1,90-1,90 x P:4.600kg</v>
      </c>
      <c r="N67" s="159" t="str">
        <f t="shared" si="2"/>
        <v>033254429</v>
      </c>
      <c r="O67" s="165">
        <v>33254429000164</v>
      </c>
      <c r="P67" s="159" t="s">
        <v>872</v>
      </c>
      <c r="Q67" s="159" t="s">
        <v>486</v>
      </c>
      <c r="R67" s="159" t="s">
        <v>575</v>
      </c>
      <c r="S67" s="2" t="s">
        <v>795</v>
      </c>
    </row>
    <row r="68" spans="1:19" x14ac:dyDescent="0.3">
      <c r="A68" s="159">
        <v>3</v>
      </c>
      <c r="B68" s="159" t="s">
        <v>8</v>
      </c>
      <c r="C68" s="159" t="s">
        <v>818</v>
      </c>
      <c r="D68" s="159" t="s">
        <v>873</v>
      </c>
      <c r="E68" s="159" t="s">
        <v>874</v>
      </c>
      <c r="F68" s="160">
        <v>1.5</v>
      </c>
      <c r="G68" s="160">
        <v>12</v>
      </c>
      <c r="H68" s="160">
        <v>1.9</v>
      </c>
      <c r="I68" s="160">
        <v>1.9</v>
      </c>
      <c r="J68" s="161">
        <v>4800</v>
      </c>
      <c r="K68" s="159" t="str">
        <f t="shared" si="3"/>
        <v>A:1,50 x C:12,00 x L:1,90-1,90 x P:4.800kg</v>
      </c>
      <c r="N68" s="159" t="str">
        <f t="shared" si="2"/>
        <v>020165766</v>
      </c>
      <c r="O68" s="165">
        <v>20165766000133</v>
      </c>
      <c r="P68" s="159" t="s">
        <v>875</v>
      </c>
      <c r="Q68" s="159" t="s">
        <v>876</v>
      </c>
      <c r="R68" s="159" t="s">
        <v>599</v>
      </c>
      <c r="S68" s="2" t="s">
        <v>795</v>
      </c>
    </row>
    <row r="69" spans="1:19" x14ac:dyDescent="0.3">
      <c r="A69" s="159">
        <v>3</v>
      </c>
      <c r="B69" s="159" t="s">
        <v>8</v>
      </c>
      <c r="C69" s="159" t="s">
        <v>818</v>
      </c>
      <c r="D69" s="159" t="s">
        <v>877</v>
      </c>
      <c r="E69" s="159" t="s">
        <v>878</v>
      </c>
      <c r="F69" s="160">
        <v>1.5</v>
      </c>
      <c r="G69" s="160">
        <v>12.5</v>
      </c>
      <c r="H69" s="160">
        <v>1.9</v>
      </c>
      <c r="I69" s="160">
        <v>1.9</v>
      </c>
      <c r="J69" s="161">
        <v>5000</v>
      </c>
      <c r="K69" s="159" t="str">
        <f t="shared" si="3"/>
        <v>A:1,50 x C:12,50 x L:1,90-1,90 x P:5.000kg</v>
      </c>
      <c r="N69" s="159" t="str">
        <f t="shared" si="2"/>
        <v>003162671</v>
      </c>
      <c r="O69" s="165">
        <v>3162671000147</v>
      </c>
      <c r="P69" s="159" t="s">
        <v>879</v>
      </c>
      <c r="Q69" s="159" t="s">
        <v>880</v>
      </c>
      <c r="R69" s="159" t="s">
        <v>599</v>
      </c>
      <c r="S69" s="2" t="s">
        <v>795</v>
      </c>
    </row>
    <row r="70" spans="1:19" x14ac:dyDescent="0.3">
      <c r="A70" s="159">
        <v>3</v>
      </c>
      <c r="B70" s="159" t="s">
        <v>8</v>
      </c>
      <c r="C70" s="159" t="s">
        <v>881</v>
      </c>
      <c r="D70" s="159" t="s">
        <v>882</v>
      </c>
      <c r="E70" s="159" t="s">
        <v>883</v>
      </c>
      <c r="F70" s="160">
        <v>1.5</v>
      </c>
      <c r="G70" s="160">
        <v>2</v>
      </c>
      <c r="H70" s="160">
        <v>1.9</v>
      </c>
      <c r="I70" s="160">
        <v>1.9</v>
      </c>
      <c r="J70" s="161">
        <v>1000</v>
      </c>
      <c r="K70" s="159" t="str">
        <f t="shared" si="3"/>
        <v>A:1,50 x C:2,00 x L:1,90-1,90 x P:1.000kg</v>
      </c>
      <c r="N70" s="159" t="str">
        <f t="shared" si="2"/>
        <v>004421739</v>
      </c>
      <c r="O70" s="165">
        <v>4421739000128</v>
      </c>
      <c r="P70" s="159" t="s">
        <v>884</v>
      </c>
      <c r="Q70" s="159" t="s">
        <v>885</v>
      </c>
      <c r="R70" s="159" t="s">
        <v>566</v>
      </c>
      <c r="S70" s="155" t="s">
        <v>795</v>
      </c>
    </row>
    <row r="71" spans="1:19" x14ac:dyDescent="0.3">
      <c r="A71" s="159">
        <v>3</v>
      </c>
      <c r="B71" s="159" t="s">
        <v>8</v>
      </c>
      <c r="C71" s="159" t="s">
        <v>881</v>
      </c>
      <c r="D71" s="159" t="s">
        <v>886</v>
      </c>
      <c r="E71" s="159" t="s">
        <v>887</v>
      </c>
      <c r="F71" s="160">
        <v>1.5</v>
      </c>
      <c r="G71" s="160">
        <v>2.5</v>
      </c>
      <c r="H71" s="160">
        <v>1.9</v>
      </c>
      <c r="I71" s="160">
        <v>1.9</v>
      </c>
      <c r="J71" s="161">
        <v>1150</v>
      </c>
      <c r="K71" s="159" t="str">
        <f t="shared" si="3"/>
        <v>A:1,50 x C:2,50 x L:1,90-1,90 x P:1.150kg</v>
      </c>
      <c r="N71" s="159" t="str">
        <f t="shared" si="2"/>
        <v>004421739</v>
      </c>
      <c r="O71" s="165">
        <v>4421739000390</v>
      </c>
      <c r="P71" s="159" t="s">
        <v>884</v>
      </c>
      <c r="Q71" s="159" t="s">
        <v>885</v>
      </c>
      <c r="R71" s="159" t="s">
        <v>566</v>
      </c>
      <c r="S71" s="155" t="s">
        <v>795</v>
      </c>
    </row>
    <row r="72" spans="1:19" x14ac:dyDescent="0.3">
      <c r="A72" s="159">
        <v>3</v>
      </c>
      <c r="B72" s="159" t="s">
        <v>8</v>
      </c>
      <c r="C72" s="159" t="s">
        <v>881</v>
      </c>
      <c r="D72" s="159" t="s">
        <v>888</v>
      </c>
      <c r="E72" s="159" t="s">
        <v>889</v>
      </c>
      <c r="F72" s="160">
        <v>1.5</v>
      </c>
      <c r="G72" s="160">
        <v>3</v>
      </c>
      <c r="H72" s="160">
        <v>1.9</v>
      </c>
      <c r="I72" s="160">
        <v>1.9</v>
      </c>
      <c r="J72" s="161">
        <v>1380</v>
      </c>
      <c r="K72" s="159" t="str">
        <f t="shared" si="3"/>
        <v>A:1,50 x C:3,00 x L:1,90-1,90 x P:1.380kg</v>
      </c>
      <c r="N72" s="159" t="str">
        <f t="shared" si="2"/>
        <v>004421739</v>
      </c>
      <c r="O72" s="165">
        <v>4421739000470</v>
      </c>
      <c r="P72" s="159" t="s">
        <v>884</v>
      </c>
      <c r="Q72" s="159" t="s">
        <v>885</v>
      </c>
      <c r="R72" s="159" t="s">
        <v>566</v>
      </c>
      <c r="S72" s="155" t="s">
        <v>795</v>
      </c>
    </row>
    <row r="73" spans="1:19" x14ac:dyDescent="0.3">
      <c r="A73" s="159">
        <v>3</v>
      </c>
      <c r="B73" s="159" t="s">
        <v>8</v>
      </c>
      <c r="C73" s="159" t="s">
        <v>881</v>
      </c>
      <c r="D73" s="159" t="s">
        <v>890</v>
      </c>
      <c r="E73" s="159" t="s">
        <v>891</v>
      </c>
      <c r="F73" s="160">
        <v>1.5</v>
      </c>
      <c r="G73" s="160">
        <v>3.5</v>
      </c>
      <c r="H73" s="160">
        <v>1.9</v>
      </c>
      <c r="I73" s="160">
        <v>1.9</v>
      </c>
      <c r="J73" s="161">
        <v>1610</v>
      </c>
      <c r="K73" s="159" t="str">
        <f t="shared" si="3"/>
        <v>A:1,50 x C:3,50 x L:1,90-1,90 x P:1.610kg</v>
      </c>
      <c r="N73" s="159" t="str">
        <f t="shared" si="2"/>
        <v>082332735</v>
      </c>
      <c r="O73" s="165">
        <v>82332735000500</v>
      </c>
      <c r="P73" s="159" t="s">
        <v>892</v>
      </c>
      <c r="Q73" s="159" t="s">
        <v>893</v>
      </c>
      <c r="R73" s="159" t="s">
        <v>599</v>
      </c>
      <c r="S73" s="155" t="s">
        <v>795</v>
      </c>
    </row>
    <row r="74" spans="1:19" x14ac:dyDescent="0.3">
      <c r="A74" s="159">
        <v>3</v>
      </c>
      <c r="B74" s="159" t="s">
        <v>8</v>
      </c>
      <c r="C74" s="159" t="s">
        <v>881</v>
      </c>
      <c r="D74" s="159" t="s">
        <v>894</v>
      </c>
      <c r="E74" s="159" t="s">
        <v>895</v>
      </c>
      <c r="F74" s="160">
        <v>1.5</v>
      </c>
      <c r="G74" s="160">
        <v>4</v>
      </c>
      <c r="H74" s="160">
        <v>1.9</v>
      </c>
      <c r="I74" s="160">
        <v>1.9</v>
      </c>
      <c r="J74" s="161">
        <v>1840</v>
      </c>
      <c r="K74" s="159" t="str">
        <f t="shared" si="3"/>
        <v>A:1,50 x C:4,00 x L:1,90-1,90 x P:1.840kg</v>
      </c>
      <c r="N74" s="159" t="str">
        <f t="shared" si="2"/>
        <v>082332735</v>
      </c>
      <c r="O74" s="165">
        <v>82332735000420</v>
      </c>
      <c r="P74" s="159" t="s">
        <v>896</v>
      </c>
      <c r="Q74" s="159" t="s">
        <v>893</v>
      </c>
      <c r="R74" s="159" t="s">
        <v>599</v>
      </c>
      <c r="S74" s="155" t="s">
        <v>795</v>
      </c>
    </row>
    <row r="75" spans="1:19" x14ac:dyDescent="0.3">
      <c r="A75" s="159">
        <v>3</v>
      </c>
      <c r="B75" s="159" t="s">
        <v>8</v>
      </c>
      <c r="C75" s="159" t="s">
        <v>881</v>
      </c>
      <c r="D75" s="159" t="s">
        <v>897</v>
      </c>
      <c r="E75" s="159" t="s">
        <v>898</v>
      </c>
      <c r="F75" s="160">
        <v>1.5</v>
      </c>
      <c r="G75" s="160">
        <v>4.5</v>
      </c>
      <c r="H75" s="160">
        <v>1.9</v>
      </c>
      <c r="I75" s="160">
        <v>1.9</v>
      </c>
      <c r="J75" s="161">
        <v>2070</v>
      </c>
      <c r="K75" s="159" t="str">
        <f t="shared" si="3"/>
        <v>A:1,50 x C:4,50 x L:1,90-1,90 x P:2.070kg</v>
      </c>
      <c r="N75" s="159" t="str">
        <f t="shared" si="2"/>
        <v>082332735</v>
      </c>
      <c r="O75" s="165">
        <v>82332735000268</v>
      </c>
      <c r="P75" s="159" t="s">
        <v>899</v>
      </c>
      <c r="Q75" s="159" t="s">
        <v>893</v>
      </c>
      <c r="R75" s="159" t="s">
        <v>599</v>
      </c>
      <c r="S75" s="155" t="s">
        <v>795</v>
      </c>
    </row>
    <row r="76" spans="1:19" x14ac:dyDescent="0.3">
      <c r="A76" s="159">
        <v>3</v>
      </c>
      <c r="B76" s="159" t="s">
        <v>8</v>
      </c>
      <c r="C76" s="159" t="s">
        <v>881</v>
      </c>
      <c r="D76" s="159" t="s">
        <v>900</v>
      </c>
      <c r="E76" s="159" t="s">
        <v>901</v>
      </c>
      <c r="F76" s="160">
        <v>1.5</v>
      </c>
      <c r="G76" s="160">
        <v>5</v>
      </c>
      <c r="H76" s="160">
        <v>1.9</v>
      </c>
      <c r="I76" s="160">
        <v>1.9</v>
      </c>
      <c r="J76" s="161">
        <v>2300</v>
      </c>
      <c r="K76" s="159" t="str">
        <f t="shared" si="3"/>
        <v>A:1,50 x C:5,00 x L:1,90-1,90 x P:2.300kg</v>
      </c>
      <c r="N76" s="159" t="str">
        <f t="shared" si="2"/>
        <v>082332735</v>
      </c>
      <c r="O76" s="165">
        <v>82332735000853</v>
      </c>
      <c r="P76" s="159" t="s">
        <v>899</v>
      </c>
      <c r="Q76" s="159" t="s">
        <v>893</v>
      </c>
      <c r="R76" s="159" t="s">
        <v>599</v>
      </c>
      <c r="S76" s="155" t="s">
        <v>795</v>
      </c>
    </row>
    <row r="77" spans="1:19" x14ac:dyDescent="0.3">
      <c r="A77" s="159">
        <v>3</v>
      </c>
      <c r="B77" s="159" t="s">
        <v>8</v>
      </c>
      <c r="C77" s="159" t="s">
        <v>881</v>
      </c>
      <c r="D77" s="159" t="s">
        <v>902</v>
      </c>
      <c r="E77" s="159" t="s">
        <v>903</v>
      </c>
      <c r="F77" s="160">
        <v>1.5</v>
      </c>
      <c r="G77" s="160">
        <v>5.5</v>
      </c>
      <c r="H77" s="160">
        <v>1.9</v>
      </c>
      <c r="I77" s="160">
        <v>1.9</v>
      </c>
      <c r="J77" s="161">
        <v>2530</v>
      </c>
      <c r="K77" s="159" t="str">
        <f t="shared" si="3"/>
        <v>A:1,50 x C:5,50 x L:1,90-1,90 x P:2.530kg</v>
      </c>
      <c r="N77" s="159" t="str">
        <f t="shared" si="2"/>
        <v>082332735</v>
      </c>
      <c r="O77" s="165">
        <v>82332735000349</v>
      </c>
      <c r="P77" s="159" t="s">
        <v>904</v>
      </c>
      <c r="Q77" s="159" t="s">
        <v>893</v>
      </c>
      <c r="R77" s="159" t="s">
        <v>599</v>
      </c>
      <c r="S77" s="155" t="s">
        <v>795</v>
      </c>
    </row>
    <row r="78" spans="1:19" x14ac:dyDescent="0.3">
      <c r="A78" s="159">
        <v>3</v>
      </c>
      <c r="B78" s="159" t="s">
        <v>8</v>
      </c>
      <c r="C78" s="159" t="s">
        <v>881</v>
      </c>
      <c r="D78" s="159" t="s">
        <v>905</v>
      </c>
      <c r="E78" s="159" t="s">
        <v>906</v>
      </c>
      <c r="F78" s="160">
        <v>1.5</v>
      </c>
      <c r="G78" s="160">
        <v>6</v>
      </c>
      <c r="H78" s="160">
        <v>1.9</v>
      </c>
      <c r="I78" s="160">
        <v>1.9</v>
      </c>
      <c r="J78" s="161">
        <v>2760</v>
      </c>
      <c r="K78" s="159" t="str">
        <f t="shared" si="3"/>
        <v>A:1,50 x C:6,00 x L:1,90-1,90 x P:2.760kg</v>
      </c>
      <c r="N78" s="159" t="str">
        <f t="shared" si="2"/>
        <v>082332735</v>
      </c>
      <c r="O78" s="165">
        <v>82332735000187</v>
      </c>
      <c r="P78" s="159" t="s">
        <v>907</v>
      </c>
      <c r="Q78" s="159" t="s">
        <v>893</v>
      </c>
      <c r="R78" s="159" t="s">
        <v>599</v>
      </c>
      <c r="S78" s="155" t="s">
        <v>795</v>
      </c>
    </row>
    <row r="79" spans="1:19" x14ac:dyDescent="0.3">
      <c r="A79" s="159">
        <v>3</v>
      </c>
      <c r="B79" s="159" t="s">
        <v>8</v>
      </c>
      <c r="C79" s="159" t="s">
        <v>881</v>
      </c>
      <c r="D79" s="159" t="s">
        <v>908</v>
      </c>
      <c r="E79" s="159" t="s">
        <v>909</v>
      </c>
      <c r="F79" s="160">
        <v>1.5</v>
      </c>
      <c r="G79" s="160">
        <v>6.5</v>
      </c>
      <c r="H79" s="160">
        <v>1.9</v>
      </c>
      <c r="I79" s="160">
        <v>1.9</v>
      </c>
      <c r="J79" s="161">
        <v>2990</v>
      </c>
      <c r="K79" s="159" t="str">
        <f t="shared" si="3"/>
        <v>A:1,50 x C:6,50 x L:1,90-1,90 x P:2.990kg</v>
      </c>
      <c r="N79" s="159" t="str">
        <f t="shared" si="2"/>
        <v>011780069</v>
      </c>
      <c r="O79" s="165">
        <v>11780069000100</v>
      </c>
      <c r="P79" s="159" t="s">
        <v>910</v>
      </c>
      <c r="Q79" s="159" t="s">
        <v>911</v>
      </c>
      <c r="R79" s="159" t="s">
        <v>599</v>
      </c>
      <c r="S79" s="155" t="s">
        <v>795</v>
      </c>
    </row>
    <row r="80" spans="1:19" x14ac:dyDescent="0.3">
      <c r="A80" s="159">
        <v>3</v>
      </c>
      <c r="B80" s="159" t="s">
        <v>8</v>
      </c>
      <c r="C80" s="159" t="s">
        <v>881</v>
      </c>
      <c r="D80" s="159" t="s">
        <v>912</v>
      </c>
      <c r="E80" s="159" t="s">
        <v>913</v>
      </c>
      <c r="F80" s="160">
        <v>1.5</v>
      </c>
      <c r="G80" s="160">
        <v>7</v>
      </c>
      <c r="H80" s="160">
        <v>1.9</v>
      </c>
      <c r="I80" s="160">
        <v>1.9</v>
      </c>
      <c r="J80" s="161">
        <v>3220</v>
      </c>
      <c r="K80" s="159" t="str">
        <f t="shared" si="3"/>
        <v>A:1,50 x C:7,00 x L:1,90-1,90 x P:3.220kg</v>
      </c>
      <c r="N80" s="159" t="str">
        <f t="shared" si="2"/>
        <v>059354979</v>
      </c>
      <c r="O80" s="165">
        <v>59354979000149</v>
      </c>
      <c r="P80" s="159" t="s">
        <v>914</v>
      </c>
      <c r="Q80" s="159" t="s">
        <v>915</v>
      </c>
      <c r="R80" s="159" t="s">
        <v>599</v>
      </c>
      <c r="S80" s="155" t="s">
        <v>795</v>
      </c>
    </row>
    <row r="81" spans="1:19" x14ac:dyDescent="0.3">
      <c r="A81" s="159">
        <v>3</v>
      </c>
      <c r="B81" s="159" t="s">
        <v>8</v>
      </c>
      <c r="C81" s="159" t="s">
        <v>881</v>
      </c>
      <c r="D81" s="159" t="s">
        <v>916</v>
      </c>
      <c r="E81" s="159" t="s">
        <v>917</v>
      </c>
      <c r="F81" s="160">
        <v>1.5</v>
      </c>
      <c r="G81" s="160">
        <v>7.5</v>
      </c>
      <c r="H81" s="160">
        <v>1.9</v>
      </c>
      <c r="I81" s="160">
        <v>1.9</v>
      </c>
      <c r="J81" s="161">
        <v>3450</v>
      </c>
      <c r="K81" s="159" t="str">
        <f t="shared" si="3"/>
        <v>A:1,50 x C:7,50 x L:1,90-1,90 x P:3.450kg</v>
      </c>
      <c r="N81" s="159" t="str">
        <f t="shared" si="2"/>
        <v>013809515</v>
      </c>
      <c r="O81" s="165">
        <v>13809515000189</v>
      </c>
      <c r="P81" s="159" t="s">
        <v>918</v>
      </c>
      <c r="Q81" s="159" t="s">
        <v>919</v>
      </c>
      <c r="R81" s="159" t="s">
        <v>606</v>
      </c>
      <c r="S81" s="2" t="s">
        <v>795</v>
      </c>
    </row>
    <row r="82" spans="1:19" x14ac:dyDescent="0.3">
      <c r="A82" s="159">
        <v>3</v>
      </c>
      <c r="B82" s="159" t="s">
        <v>8</v>
      </c>
      <c r="C82" s="159" t="s">
        <v>881</v>
      </c>
      <c r="D82" s="159" t="s">
        <v>920</v>
      </c>
      <c r="E82" s="159" t="s">
        <v>921</v>
      </c>
      <c r="F82" s="160">
        <v>1.5</v>
      </c>
      <c r="G82" s="160">
        <v>8</v>
      </c>
      <c r="H82" s="160">
        <v>1.9</v>
      </c>
      <c r="I82" s="160">
        <v>1.9</v>
      </c>
      <c r="J82" s="161">
        <v>3680</v>
      </c>
      <c r="K82" s="159" t="str">
        <f t="shared" si="3"/>
        <v>A:1,50 x C:8,00 x L:1,90-1,90 x P:3.680kg</v>
      </c>
      <c r="N82" s="159" t="str">
        <f t="shared" si="2"/>
        <v>044336898</v>
      </c>
      <c r="O82" s="165">
        <v>44336898000149</v>
      </c>
      <c r="P82" s="159" t="s">
        <v>922</v>
      </c>
      <c r="Q82" s="159" t="s">
        <v>923</v>
      </c>
      <c r="R82" s="159" t="s">
        <v>599</v>
      </c>
      <c r="S82" s="155" t="s">
        <v>795</v>
      </c>
    </row>
    <row r="83" spans="1:19" x14ac:dyDescent="0.3">
      <c r="A83" s="159">
        <v>3</v>
      </c>
      <c r="B83" s="159" t="s">
        <v>8</v>
      </c>
      <c r="C83" s="159" t="s">
        <v>924</v>
      </c>
      <c r="D83" s="159" t="s">
        <v>920</v>
      </c>
      <c r="E83" s="159" t="s">
        <v>925</v>
      </c>
      <c r="F83" s="160">
        <v>1.6</v>
      </c>
      <c r="G83" s="160">
        <v>4.88</v>
      </c>
      <c r="H83" s="160">
        <v>1.8</v>
      </c>
      <c r="I83" s="160">
        <v>1.8</v>
      </c>
      <c r="J83" s="161">
        <v>1900</v>
      </c>
      <c r="K83" s="159" t="str">
        <f t="shared" si="3"/>
        <v>A:1,60 x C:4,88 x L:1,80-1,80 x P:1.900kg</v>
      </c>
      <c r="N83" s="159" t="str">
        <f t="shared" si="2"/>
        <v>012831793</v>
      </c>
      <c r="O83" s="165">
        <v>12831793000170</v>
      </c>
      <c r="P83" s="159" t="s">
        <v>926</v>
      </c>
      <c r="Q83" s="159" t="s">
        <v>927</v>
      </c>
      <c r="R83" s="159" t="s">
        <v>599</v>
      </c>
      <c r="S83" s="2" t="s">
        <v>795</v>
      </c>
    </row>
    <row r="84" spans="1:19" x14ac:dyDescent="0.3">
      <c r="A84" s="159">
        <v>3</v>
      </c>
      <c r="B84" s="159" t="s">
        <v>8</v>
      </c>
      <c r="C84" s="159" t="s">
        <v>928</v>
      </c>
      <c r="D84" s="159" t="s">
        <v>920</v>
      </c>
      <c r="E84" s="159" t="s">
        <v>929</v>
      </c>
      <c r="F84" s="160">
        <v>1.6</v>
      </c>
      <c r="G84" s="160">
        <v>4.88</v>
      </c>
      <c r="H84" s="160">
        <v>1.7</v>
      </c>
      <c r="I84" s="160">
        <v>1.7</v>
      </c>
      <c r="J84" s="161">
        <v>1800</v>
      </c>
      <c r="K84" s="159" t="str">
        <f t="shared" si="3"/>
        <v>A:1,60 x C:4,88 x L:1,70-1,70 x P:1.800kg</v>
      </c>
      <c r="N84" s="159" t="str">
        <f t="shared" si="2"/>
        <v>038126289</v>
      </c>
      <c r="O84" s="165">
        <v>38126289000162</v>
      </c>
      <c r="P84" s="159" t="s">
        <v>930</v>
      </c>
      <c r="Q84" s="159" t="s">
        <v>931</v>
      </c>
      <c r="R84" s="159" t="s">
        <v>599</v>
      </c>
      <c r="S84" s="155" t="s">
        <v>795</v>
      </c>
    </row>
    <row r="85" spans="1:19" x14ac:dyDescent="0.3">
      <c r="A85" s="159">
        <v>3</v>
      </c>
      <c r="B85" s="159" t="s">
        <v>8</v>
      </c>
      <c r="C85" s="159" t="s">
        <v>881</v>
      </c>
      <c r="D85" s="159" t="s">
        <v>932</v>
      </c>
      <c r="E85" s="159" t="s">
        <v>933</v>
      </c>
      <c r="F85" s="160">
        <v>1.5</v>
      </c>
      <c r="G85" s="160">
        <v>8.5</v>
      </c>
      <c r="H85" s="160">
        <v>1.9</v>
      </c>
      <c r="I85" s="160">
        <v>1.9</v>
      </c>
      <c r="J85" s="161">
        <v>3910</v>
      </c>
      <c r="K85" s="159" t="str">
        <f t="shared" si="3"/>
        <v>A:1,50 x C:8,50 x L:1,90-1,90 x P:3.910kg</v>
      </c>
      <c r="N85" s="159" t="str">
        <f t="shared" si="2"/>
        <v>010273940</v>
      </c>
      <c r="O85" s="165">
        <v>10273940000108</v>
      </c>
      <c r="P85" s="159" t="s">
        <v>934</v>
      </c>
      <c r="Q85" s="159" t="s">
        <v>433</v>
      </c>
      <c r="R85" s="159" t="s">
        <v>599</v>
      </c>
      <c r="S85" s="155" t="s">
        <v>795</v>
      </c>
    </row>
    <row r="86" spans="1:19" x14ac:dyDescent="0.3">
      <c r="A86" s="159">
        <v>3</v>
      </c>
      <c r="B86" s="159" t="s">
        <v>8</v>
      </c>
      <c r="C86" s="159" t="s">
        <v>924</v>
      </c>
      <c r="D86" s="159" t="s">
        <v>935</v>
      </c>
      <c r="E86" s="159" t="s">
        <v>936</v>
      </c>
      <c r="F86" s="160">
        <v>1.6</v>
      </c>
      <c r="G86" s="160">
        <v>5.49</v>
      </c>
      <c r="H86" s="160">
        <v>1.8</v>
      </c>
      <c r="I86" s="160">
        <v>1.8</v>
      </c>
      <c r="J86" s="161">
        <v>2050</v>
      </c>
      <c r="K86" s="159" t="str">
        <f t="shared" si="3"/>
        <v>A:1,60 x C:5,49 x L:1,80-1,80 x P:2.050kg</v>
      </c>
      <c r="N86" s="159" t="str">
        <f t="shared" si="2"/>
        <v>007424946</v>
      </c>
      <c r="O86" s="165">
        <v>7424946000124</v>
      </c>
      <c r="P86" s="159" t="s">
        <v>937</v>
      </c>
      <c r="Q86" s="159" t="s">
        <v>938</v>
      </c>
      <c r="R86" s="159" t="s">
        <v>599</v>
      </c>
      <c r="S86" s="155" t="s">
        <v>795</v>
      </c>
    </row>
    <row r="87" spans="1:19" x14ac:dyDescent="0.3">
      <c r="A87" s="159">
        <v>3</v>
      </c>
      <c r="B87" s="159" t="s">
        <v>8</v>
      </c>
      <c r="C87" s="159" t="s">
        <v>928</v>
      </c>
      <c r="D87" s="159" t="s">
        <v>935</v>
      </c>
      <c r="E87" s="159" t="s">
        <v>939</v>
      </c>
      <c r="F87" s="160">
        <v>1.6</v>
      </c>
      <c r="G87" s="160">
        <v>5.49</v>
      </c>
      <c r="H87" s="160">
        <v>1.7</v>
      </c>
      <c r="I87" s="160">
        <v>1.7</v>
      </c>
      <c r="J87" s="161">
        <v>1950</v>
      </c>
      <c r="K87" s="159" t="str">
        <f t="shared" si="3"/>
        <v>A:1,60 x C:5,49 x L:1,70-1,70 x P:1.950kg</v>
      </c>
      <c r="N87" s="159" t="str">
        <f t="shared" si="2"/>
        <v>021915466</v>
      </c>
      <c r="O87" s="165" t="s">
        <v>940</v>
      </c>
      <c r="P87" s="159" t="s">
        <v>941</v>
      </c>
      <c r="Q87" s="159" t="s">
        <v>942</v>
      </c>
      <c r="R87" s="159" t="s">
        <v>943</v>
      </c>
      <c r="S87" s="155" t="s">
        <v>795</v>
      </c>
    </row>
    <row r="88" spans="1:19" x14ac:dyDescent="0.3">
      <c r="A88" s="159">
        <v>3</v>
      </c>
      <c r="B88" s="159" t="s">
        <v>8</v>
      </c>
      <c r="C88" s="159" t="s">
        <v>924</v>
      </c>
      <c r="D88" s="159" t="s">
        <v>944</v>
      </c>
      <c r="E88" s="159" t="s">
        <v>945</v>
      </c>
      <c r="F88" s="160">
        <v>1.6</v>
      </c>
      <c r="G88" s="160">
        <v>6.1</v>
      </c>
      <c r="H88" s="160">
        <v>1.8</v>
      </c>
      <c r="I88" s="160">
        <v>1.8</v>
      </c>
      <c r="J88" s="161">
        <v>2200</v>
      </c>
      <c r="K88" s="159" t="str">
        <f t="shared" si="3"/>
        <v>A:1,60 x C:6,10 x L:1,80-1,80 x P:2.200kg</v>
      </c>
      <c r="N88" s="159" t="str">
        <f t="shared" si="2"/>
        <v>006338414</v>
      </c>
      <c r="O88" s="165">
        <v>6338414000101</v>
      </c>
      <c r="P88" s="159" t="s">
        <v>946</v>
      </c>
      <c r="Q88" s="159" t="s">
        <v>947</v>
      </c>
      <c r="R88" s="159" t="s">
        <v>948</v>
      </c>
      <c r="S88" s="155" t="s">
        <v>795</v>
      </c>
    </row>
    <row r="89" spans="1:19" x14ac:dyDescent="0.3">
      <c r="A89" s="159">
        <v>3</v>
      </c>
      <c r="B89" s="159" t="s">
        <v>8</v>
      </c>
      <c r="C89" s="159" t="s">
        <v>928</v>
      </c>
      <c r="D89" s="159" t="s">
        <v>944</v>
      </c>
      <c r="E89" s="159" t="s">
        <v>949</v>
      </c>
      <c r="F89" s="160">
        <v>1.6</v>
      </c>
      <c r="G89" s="160">
        <v>6.1</v>
      </c>
      <c r="H89" s="160">
        <v>1.7</v>
      </c>
      <c r="I89" s="160">
        <v>1.7</v>
      </c>
      <c r="J89" s="161">
        <v>2100</v>
      </c>
      <c r="K89" s="159" t="str">
        <f t="shared" si="3"/>
        <v>A:1,60 x C:6,10 x L:1,70-1,70 x P:2.100kg</v>
      </c>
      <c r="N89" s="159" t="str">
        <f t="shared" si="2"/>
        <v>024586837</v>
      </c>
      <c r="O89" s="165">
        <v>24586837000122</v>
      </c>
      <c r="P89" s="159" t="s">
        <v>950</v>
      </c>
      <c r="Q89" s="159" t="s">
        <v>459</v>
      </c>
      <c r="R89" s="159" t="s">
        <v>599</v>
      </c>
      <c r="S89" s="155" t="s">
        <v>795</v>
      </c>
    </row>
    <row r="90" spans="1:19" x14ac:dyDescent="0.3">
      <c r="A90" s="159">
        <v>3</v>
      </c>
      <c r="B90" s="159" t="s">
        <v>8</v>
      </c>
      <c r="C90" s="159" t="s">
        <v>881</v>
      </c>
      <c r="D90" s="159" t="s">
        <v>951</v>
      </c>
      <c r="E90" s="159" t="s">
        <v>952</v>
      </c>
      <c r="F90" s="160">
        <v>1.6</v>
      </c>
      <c r="G90" s="160">
        <v>6.71</v>
      </c>
      <c r="H90" s="160">
        <v>1.8</v>
      </c>
      <c r="I90" s="160">
        <v>1.8</v>
      </c>
      <c r="J90" s="161">
        <v>2300</v>
      </c>
      <c r="K90" s="159" t="str">
        <f t="shared" si="3"/>
        <v>A:1,60 x C:6,71 x L:1,80-1,80 x P:2.300kg</v>
      </c>
      <c r="N90" s="159" t="str">
        <f t="shared" si="2"/>
        <v>016793575</v>
      </c>
      <c r="O90" s="165">
        <v>16793575000149</v>
      </c>
      <c r="P90" s="159" t="s">
        <v>953</v>
      </c>
      <c r="Q90" s="159" t="s">
        <v>954</v>
      </c>
      <c r="R90" s="159" t="s">
        <v>599</v>
      </c>
      <c r="S90" s="155" t="s">
        <v>795</v>
      </c>
    </row>
    <row r="91" spans="1:19" x14ac:dyDescent="0.3">
      <c r="A91" s="159">
        <v>3</v>
      </c>
      <c r="B91" s="159" t="s">
        <v>8</v>
      </c>
      <c r="C91" s="159" t="s">
        <v>928</v>
      </c>
      <c r="D91" s="159" t="s">
        <v>951</v>
      </c>
      <c r="E91" s="159" t="s">
        <v>955</v>
      </c>
      <c r="F91" s="160">
        <v>1.6</v>
      </c>
      <c r="G91" s="160">
        <v>6.71</v>
      </c>
      <c r="H91" s="160">
        <v>1.7</v>
      </c>
      <c r="I91" s="160">
        <v>1.7</v>
      </c>
      <c r="J91" s="161">
        <v>2250</v>
      </c>
      <c r="K91" s="159" t="str">
        <f t="shared" si="3"/>
        <v>A:1,60 x C:6,71 x L:1,70-1,70 x P:2.250kg</v>
      </c>
      <c r="N91" s="159" t="str">
        <f t="shared" si="2"/>
        <v>018074418</v>
      </c>
      <c r="O91" s="165">
        <v>18074418000109</v>
      </c>
      <c r="P91" s="159" t="s">
        <v>956</v>
      </c>
      <c r="Q91" s="159" t="s">
        <v>957</v>
      </c>
      <c r="R91" s="159" t="s">
        <v>599</v>
      </c>
      <c r="S91" s="155" t="s">
        <v>795</v>
      </c>
    </row>
    <row r="92" spans="1:19" x14ac:dyDescent="0.3">
      <c r="A92" s="159">
        <v>3</v>
      </c>
      <c r="B92" s="159" t="s">
        <v>8</v>
      </c>
      <c r="C92" s="159" t="s">
        <v>881</v>
      </c>
      <c r="D92" s="159" t="s">
        <v>958</v>
      </c>
      <c r="E92" s="159" t="s">
        <v>959</v>
      </c>
      <c r="F92" s="160">
        <v>1.5</v>
      </c>
      <c r="G92" s="160">
        <v>12</v>
      </c>
      <c r="H92" s="160">
        <v>1.9</v>
      </c>
      <c r="I92" s="160">
        <v>1.9</v>
      </c>
      <c r="J92" s="161">
        <v>5520</v>
      </c>
      <c r="K92" s="159" t="str">
        <f t="shared" si="3"/>
        <v>A:1,50 x C:12,00 x L:1,90-1,90 x P:5.520kg</v>
      </c>
      <c r="N92" s="159" t="str">
        <f t="shared" si="2"/>
        <v>081230021</v>
      </c>
      <c r="O92" s="165">
        <v>81230021000103</v>
      </c>
      <c r="P92" s="159" t="s">
        <v>960</v>
      </c>
      <c r="Q92" s="159" t="s">
        <v>961</v>
      </c>
      <c r="R92" s="159" t="s">
        <v>566</v>
      </c>
      <c r="S92" s="155" t="s">
        <v>795</v>
      </c>
    </row>
    <row r="93" spans="1:19" x14ac:dyDescent="0.3">
      <c r="A93" s="159">
        <v>3</v>
      </c>
      <c r="B93" s="159" t="s">
        <v>8</v>
      </c>
      <c r="C93" s="159" t="s">
        <v>924</v>
      </c>
      <c r="D93" s="159" t="s">
        <v>962</v>
      </c>
      <c r="E93" s="159" t="s">
        <v>963</v>
      </c>
      <c r="F93" s="160">
        <v>1.6</v>
      </c>
      <c r="G93" s="160">
        <v>7.62</v>
      </c>
      <c r="H93" s="160">
        <v>1.8</v>
      </c>
      <c r="I93" s="160">
        <v>1.8</v>
      </c>
      <c r="J93" s="161">
        <v>2333</v>
      </c>
      <c r="K93" s="159" t="str">
        <f t="shared" si="3"/>
        <v>A:1,60 x C:7,62 x L:1,80-1,80 x P:2.333kg</v>
      </c>
      <c r="N93" s="159" t="str">
        <f t="shared" si="2"/>
        <v>019320206</v>
      </c>
      <c r="O93" s="165">
        <v>19320206000127</v>
      </c>
      <c r="P93" s="159" t="s">
        <v>964</v>
      </c>
      <c r="Q93" s="159" t="s">
        <v>453</v>
      </c>
      <c r="R93" s="159" t="s">
        <v>575</v>
      </c>
      <c r="S93" s="155" t="s">
        <v>965</v>
      </c>
    </row>
    <row r="94" spans="1:19" x14ac:dyDescent="0.3">
      <c r="A94" s="159">
        <v>3</v>
      </c>
      <c r="B94" s="159" t="s">
        <v>8</v>
      </c>
      <c r="C94" s="159" t="s">
        <v>881</v>
      </c>
      <c r="D94" s="159" t="s">
        <v>966</v>
      </c>
      <c r="E94" s="159" t="s">
        <v>967</v>
      </c>
      <c r="F94" s="160">
        <v>1.5</v>
      </c>
      <c r="G94" s="160">
        <v>12.15</v>
      </c>
      <c r="H94" s="160">
        <v>1.9</v>
      </c>
      <c r="I94" s="160">
        <v>1.9</v>
      </c>
      <c r="J94" s="161">
        <v>6210</v>
      </c>
      <c r="K94" s="159" t="str">
        <f t="shared" si="3"/>
        <v>A:1,50 x C:12,15 x L:1,90-1,90 x P:6.210kg</v>
      </c>
      <c r="N94" s="159" t="str">
        <f t="shared" si="2"/>
        <v>048501079</v>
      </c>
      <c r="O94" s="165">
        <v>48501079000160</v>
      </c>
      <c r="P94" s="159" t="s">
        <v>968</v>
      </c>
      <c r="Q94" s="159" t="s">
        <v>969</v>
      </c>
      <c r="R94" s="159" t="s">
        <v>550</v>
      </c>
      <c r="S94" s="155" t="s">
        <v>965</v>
      </c>
    </row>
    <row r="95" spans="1:19" x14ac:dyDescent="0.3">
      <c r="A95" s="159">
        <v>3</v>
      </c>
      <c r="B95" s="159" t="s">
        <v>8</v>
      </c>
      <c r="C95" s="159" t="s">
        <v>924</v>
      </c>
      <c r="D95" s="159" t="s">
        <v>970</v>
      </c>
      <c r="E95" s="159" t="s">
        <v>971</v>
      </c>
      <c r="F95" s="160">
        <v>1.6</v>
      </c>
      <c r="G95" s="160">
        <v>9.14</v>
      </c>
      <c r="H95" s="160">
        <v>1.8</v>
      </c>
      <c r="I95" s="160">
        <v>1.8</v>
      </c>
      <c r="J95" s="161">
        <v>2871</v>
      </c>
      <c r="K95" s="159" t="str">
        <f t="shared" si="3"/>
        <v>A:1,60 x C:9,14 x L:1,80-1,80 x P:2.871kg</v>
      </c>
      <c r="N95" s="159" t="str">
        <f t="shared" si="2"/>
        <v>031553361</v>
      </c>
      <c r="O95" s="165">
        <v>31553361000199</v>
      </c>
      <c r="P95" s="159" t="s">
        <v>972</v>
      </c>
      <c r="Q95" s="159" t="s">
        <v>973</v>
      </c>
      <c r="R95" s="159" t="s">
        <v>566</v>
      </c>
      <c r="S95" s="155" t="s">
        <v>965</v>
      </c>
    </row>
    <row r="96" spans="1:19" x14ac:dyDescent="0.3">
      <c r="A96" s="159">
        <v>3</v>
      </c>
      <c r="B96" s="159" t="s">
        <v>8</v>
      </c>
      <c r="C96" s="159" t="s">
        <v>924</v>
      </c>
      <c r="D96" s="159" t="s">
        <v>974</v>
      </c>
      <c r="E96" s="159" t="s">
        <v>975</v>
      </c>
      <c r="F96" s="160">
        <v>1.6</v>
      </c>
      <c r="G96" s="160">
        <v>10.67</v>
      </c>
      <c r="H96" s="160">
        <v>1.8</v>
      </c>
      <c r="I96" s="160">
        <v>1.8</v>
      </c>
      <c r="J96" s="161">
        <v>3300</v>
      </c>
      <c r="K96" s="159" t="str">
        <f t="shared" si="3"/>
        <v>A:1,60 x C:10,67 x L:1,80-1,80 x P:3.300kg</v>
      </c>
      <c r="N96" s="159" t="str">
        <f t="shared" si="2"/>
        <v>046570181</v>
      </c>
      <c r="O96" s="165">
        <v>46570181000192</v>
      </c>
      <c r="P96" s="159" t="s">
        <v>976</v>
      </c>
      <c r="Q96" s="159" t="s">
        <v>977</v>
      </c>
      <c r="R96" s="159" t="s">
        <v>566</v>
      </c>
      <c r="S96" s="155" t="s">
        <v>965</v>
      </c>
    </row>
    <row r="97" spans="1:19" x14ac:dyDescent="0.3">
      <c r="A97" s="159">
        <v>3</v>
      </c>
      <c r="B97" s="159" t="s">
        <v>8</v>
      </c>
      <c r="C97" s="159" t="s">
        <v>978</v>
      </c>
      <c r="D97" s="159" t="s">
        <v>979</v>
      </c>
      <c r="E97" s="159" t="s">
        <v>980</v>
      </c>
      <c r="F97" s="160">
        <v>1.6</v>
      </c>
      <c r="G97" s="160">
        <v>10.27</v>
      </c>
      <c r="H97" s="160">
        <v>2.7</v>
      </c>
      <c r="I97" s="160">
        <v>2.7</v>
      </c>
      <c r="J97" s="161">
        <v>3200</v>
      </c>
      <c r="K97" s="159" t="str">
        <f t="shared" si="3"/>
        <v>A:1,60 x C:10,27 x L:2,70-2,70 x P:3.200kg</v>
      </c>
      <c r="N97" s="159" t="str">
        <f t="shared" si="2"/>
        <v>006208105</v>
      </c>
      <c r="O97" s="165">
        <v>6208105001431</v>
      </c>
      <c r="P97" s="159" t="s">
        <v>981</v>
      </c>
      <c r="Q97" s="159" t="s">
        <v>982</v>
      </c>
      <c r="R97" s="159" t="s">
        <v>983</v>
      </c>
      <c r="S97" s="155" t="s">
        <v>965</v>
      </c>
    </row>
    <row r="98" spans="1:19" x14ac:dyDescent="0.3">
      <c r="A98" s="159">
        <v>3</v>
      </c>
      <c r="B98" s="159" t="s">
        <v>8</v>
      </c>
      <c r="C98" s="159" t="s">
        <v>978</v>
      </c>
      <c r="D98" s="159" t="s">
        <v>984</v>
      </c>
      <c r="E98" s="159" t="s">
        <v>985</v>
      </c>
      <c r="F98" s="160">
        <v>1.6</v>
      </c>
      <c r="G98" s="160">
        <v>11.79</v>
      </c>
      <c r="H98" s="160">
        <v>2.7</v>
      </c>
      <c r="I98" s="160">
        <v>2.7</v>
      </c>
      <c r="J98" s="161">
        <v>3646</v>
      </c>
      <c r="K98" s="159" t="str">
        <f t="shared" si="3"/>
        <v>A:1,60 x C:11,79 x L:2,70-2,70 x P:3.646kg</v>
      </c>
      <c r="N98" s="159" t="str">
        <f t="shared" si="2"/>
        <v>006208105</v>
      </c>
      <c r="O98" s="165">
        <v>6208105000117</v>
      </c>
      <c r="P98" s="159" t="s">
        <v>986</v>
      </c>
      <c r="Q98" s="159" t="s">
        <v>982</v>
      </c>
      <c r="R98" s="159" t="s">
        <v>948</v>
      </c>
      <c r="S98" s="2" t="s">
        <v>965</v>
      </c>
    </row>
    <row r="99" spans="1:19" x14ac:dyDescent="0.3">
      <c r="A99" s="159">
        <v>3</v>
      </c>
      <c r="B99" s="159" t="s">
        <v>8</v>
      </c>
      <c r="C99" s="159" t="s">
        <v>978</v>
      </c>
      <c r="D99" s="159" t="s">
        <v>987</v>
      </c>
      <c r="E99" s="159" t="s">
        <v>988</v>
      </c>
      <c r="F99" s="160">
        <v>1.6</v>
      </c>
      <c r="G99" s="160">
        <v>13.32</v>
      </c>
      <c r="H99" s="160">
        <v>2.7</v>
      </c>
      <c r="I99" s="160">
        <v>2.7</v>
      </c>
      <c r="J99" s="161">
        <v>4055</v>
      </c>
      <c r="K99" s="159" t="str">
        <f t="shared" si="3"/>
        <v>A:1,60 x C:13,32 x L:2,70-2,70 x P:4.055kg</v>
      </c>
      <c r="N99" s="159" t="str">
        <f t="shared" si="2"/>
        <v>006208105</v>
      </c>
      <c r="O99" s="165">
        <v>6208105001008</v>
      </c>
      <c r="P99" s="159" t="s">
        <v>989</v>
      </c>
      <c r="Q99" s="159" t="s">
        <v>982</v>
      </c>
      <c r="R99" s="159" t="s">
        <v>990</v>
      </c>
      <c r="S99" s="2" t="s">
        <v>965</v>
      </c>
    </row>
    <row r="100" spans="1:19" x14ac:dyDescent="0.3">
      <c r="A100" s="159">
        <v>3</v>
      </c>
      <c r="B100" s="159" t="s">
        <v>8</v>
      </c>
      <c r="C100" s="159" t="s">
        <v>978</v>
      </c>
      <c r="D100" s="159" t="s">
        <v>991</v>
      </c>
      <c r="E100" s="159" t="s">
        <v>992</v>
      </c>
      <c r="F100" s="160">
        <v>1.6</v>
      </c>
      <c r="G100" s="160">
        <v>14.75</v>
      </c>
      <c r="H100" s="160">
        <v>2.7</v>
      </c>
      <c r="I100" s="160">
        <v>2.7</v>
      </c>
      <c r="J100" s="161">
        <v>4420</v>
      </c>
      <c r="K100" s="159" t="str">
        <f t="shared" si="3"/>
        <v>A:1,60 x C:14,75 x L:2,70-2,70 x P:4.420kg</v>
      </c>
      <c r="N100" s="159" t="str">
        <f t="shared" si="2"/>
        <v>006208105</v>
      </c>
      <c r="O100" s="165">
        <v>6208105000206</v>
      </c>
      <c r="P100" s="159" t="s">
        <v>993</v>
      </c>
      <c r="Q100" s="159" t="s">
        <v>982</v>
      </c>
      <c r="R100" s="159" t="s">
        <v>994</v>
      </c>
      <c r="S100" s="2" t="s">
        <v>965</v>
      </c>
    </row>
    <row r="101" spans="1:19" x14ac:dyDescent="0.3">
      <c r="A101" s="159">
        <v>3</v>
      </c>
      <c r="B101" s="159" t="s">
        <v>8</v>
      </c>
      <c r="C101" s="159" t="s">
        <v>818</v>
      </c>
      <c r="D101" s="159" t="s">
        <v>995</v>
      </c>
      <c r="E101" s="159" t="s">
        <v>996</v>
      </c>
      <c r="F101" s="160">
        <v>1.5</v>
      </c>
      <c r="G101" s="160">
        <v>4</v>
      </c>
      <c r="H101" s="160">
        <v>1.9</v>
      </c>
      <c r="I101" s="160">
        <v>1.9</v>
      </c>
      <c r="J101" s="161">
        <v>1600</v>
      </c>
      <c r="K101" s="159" t="str">
        <f t="shared" si="3"/>
        <v>A:1,50 x C:4,00 x L:1,90-1,90 x P:1.600kg</v>
      </c>
      <c r="N101" s="159" t="str">
        <f t="shared" si="2"/>
        <v>006208105</v>
      </c>
      <c r="O101" s="165">
        <v>6208105000389</v>
      </c>
      <c r="P101" s="159" t="s">
        <v>997</v>
      </c>
      <c r="Q101" s="159" t="s">
        <v>982</v>
      </c>
      <c r="R101" s="159" t="s">
        <v>998</v>
      </c>
      <c r="S101" s="155" t="s">
        <v>965</v>
      </c>
    </row>
    <row r="102" spans="1:19" x14ac:dyDescent="0.3">
      <c r="A102" s="159">
        <v>3</v>
      </c>
      <c r="B102" s="159" t="s">
        <v>8</v>
      </c>
      <c r="C102" s="159" t="s">
        <v>818</v>
      </c>
      <c r="D102" s="159" t="s">
        <v>999</v>
      </c>
      <c r="E102" s="159" t="s">
        <v>1000</v>
      </c>
      <c r="F102" s="160">
        <v>1.5</v>
      </c>
      <c r="G102" s="160">
        <v>4.5</v>
      </c>
      <c r="H102" s="160">
        <v>1.9</v>
      </c>
      <c r="I102" s="160">
        <v>1.9</v>
      </c>
      <c r="J102" s="161">
        <v>1800</v>
      </c>
      <c r="K102" s="159" t="str">
        <f t="shared" si="3"/>
        <v>A:1,50 x C:4,50 x L:1,90-1,90 x P:1.800kg</v>
      </c>
      <c r="N102" s="159" t="str">
        <f t="shared" si="2"/>
        <v>006208105</v>
      </c>
      <c r="O102" s="165">
        <v>6208105000540</v>
      </c>
      <c r="P102" s="159" t="s">
        <v>1001</v>
      </c>
      <c r="Q102" s="159" t="s">
        <v>982</v>
      </c>
      <c r="R102" s="159" t="s">
        <v>1002</v>
      </c>
      <c r="S102" s="155" t="s">
        <v>965</v>
      </c>
    </row>
    <row r="103" spans="1:19" x14ac:dyDescent="0.3">
      <c r="A103" s="159">
        <v>3</v>
      </c>
      <c r="B103" s="159" t="s">
        <v>8</v>
      </c>
      <c r="C103" s="159" t="s">
        <v>1003</v>
      </c>
      <c r="D103" s="159" t="s">
        <v>1004</v>
      </c>
      <c r="E103" s="159" t="s">
        <v>1005</v>
      </c>
      <c r="F103" s="160">
        <v>1.6</v>
      </c>
      <c r="G103" s="160">
        <v>15.3</v>
      </c>
      <c r="H103" s="160">
        <v>2.9</v>
      </c>
      <c r="I103" s="160">
        <v>2.9</v>
      </c>
      <c r="J103" s="161">
        <v>5200</v>
      </c>
      <c r="K103" s="159" t="str">
        <f t="shared" si="3"/>
        <v>A:1,60 x C:15,30 x L:2,90-2,90 x P:5.200kg</v>
      </c>
      <c r="N103" s="159" t="str">
        <f t="shared" si="2"/>
        <v>006208105</v>
      </c>
      <c r="O103" s="165">
        <v>6208105001199</v>
      </c>
      <c r="P103" s="159" t="s">
        <v>989</v>
      </c>
      <c r="Q103" s="159" t="s">
        <v>982</v>
      </c>
      <c r="R103" s="159" t="s">
        <v>794</v>
      </c>
      <c r="S103" s="2" t="s">
        <v>965</v>
      </c>
    </row>
    <row r="104" spans="1:19" x14ac:dyDescent="0.3">
      <c r="A104" s="159">
        <v>3</v>
      </c>
      <c r="B104" s="159" t="s">
        <v>8</v>
      </c>
      <c r="C104" s="159" t="s">
        <v>1003</v>
      </c>
      <c r="D104" s="159" t="s">
        <v>1006</v>
      </c>
      <c r="E104" s="159" t="s">
        <v>1006</v>
      </c>
      <c r="F104" s="160">
        <v>1.6</v>
      </c>
      <c r="G104" s="160">
        <v>9.14</v>
      </c>
      <c r="H104" s="160">
        <v>1.8</v>
      </c>
      <c r="I104" s="160">
        <v>1.8</v>
      </c>
      <c r="J104" s="161">
        <v>2900</v>
      </c>
      <c r="K104" s="159" t="str">
        <f t="shared" si="3"/>
        <v>A:1,60 x C:9,14 x L:1,80-1,80 x P:2.900kg</v>
      </c>
      <c r="N104" s="159" t="str">
        <f t="shared" si="2"/>
        <v>006208105</v>
      </c>
      <c r="O104" s="165">
        <v>6208105000621</v>
      </c>
      <c r="P104" s="159" t="s">
        <v>1007</v>
      </c>
      <c r="Q104" s="159" t="s">
        <v>982</v>
      </c>
      <c r="R104" s="159" t="s">
        <v>1008</v>
      </c>
      <c r="S104" s="2" t="s">
        <v>965</v>
      </c>
    </row>
    <row r="105" spans="1:19" x14ac:dyDescent="0.3">
      <c r="A105" s="159">
        <v>3</v>
      </c>
      <c r="B105" s="159" t="s">
        <v>8</v>
      </c>
      <c r="C105" s="159" t="s">
        <v>1009</v>
      </c>
      <c r="D105" s="159" t="s">
        <v>1010</v>
      </c>
      <c r="E105" s="159" t="s">
        <v>1010</v>
      </c>
      <c r="F105" s="160">
        <v>1.6</v>
      </c>
      <c r="G105" s="160">
        <v>9.14</v>
      </c>
      <c r="H105" s="160">
        <v>2.2000000000000002</v>
      </c>
      <c r="I105" s="160">
        <v>2.2000000000000002</v>
      </c>
      <c r="J105" s="161">
        <v>4200</v>
      </c>
      <c r="K105" s="159" t="str">
        <f t="shared" si="3"/>
        <v>A:1,60 x C:9,14 x L:2,20-2,20 x P:4.200kg</v>
      </c>
      <c r="N105" s="159" t="str">
        <f t="shared" si="2"/>
        <v>006208105</v>
      </c>
      <c r="O105" s="165">
        <v>6208105000460</v>
      </c>
      <c r="P105" s="159" t="s">
        <v>993</v>
      </c>
      <c r="Q105" s="159" t="s">
        <v>982</v>
      </c>
      <c r="R105" s="159" t="s">
        <v>1011</v>
      </c>
      <c r="S105" s="2" t="s">
        <v>965</v>
      </c>
    </row>
    <row r="106" spans="1:19" x14ac:dyDescent="0.3">
      <c r="A106" s="159">
        <v>3</v>
      </c>
      <c r="B106" s="159" t="s">
        <v>8</v>
      </c>
      <c r="C106" s="159" t="s">
        <v>1009</v>
      </c>
      <c r="D106" s="159" t="s">
        <v>1012</v>
      </c>
      <c r="E106" s="159" t="s">
        <v>1012</v>
      </c>
      <c r="F106" s="160">
        <v>1.6</v>
      </c>
      <c r="G106" s="160">
        <v>10.67</v>
      </c>
      <c r="H106" s="160">
        <v>2.2000000000000002</v>
      </c>
      <c r="I106" s="160">
        <v>2.2000000000000002</v>
      </c>
      <c r="J106" s="161">
        <v>5000</v>
      </c>
      <c r="K106" s="159" t="str">
        <f t="shared" si="3"/>
        <v>A:1,60 x C:10,67 x L:2,20-2,20 x P:5.000kg</v>
      </c>
      <c r="N106" s="159" t="str">
        <f t="shared" si="2"/>
        <v>006208105</v>
      </c>
      <c r="O106" s="165">
        <v>6208105001512</v>
      </c>
      <c r="P106" s="159" t="s">
        <v>1013</v>
      </c>
      <c r="Q106" s="159" t="s">
        <v>982</v>
      </c>
      <c r="R106" s="159" t="s">
        <v>1014</v>
      </c>
      <c r="S106" s="155" t="s">
        <v>965</v>
      </c>
    </row>
    <row r="107" spans="1:19" x14ac:dyDescent="0.3">
      <c r="A107" s="159">
        <v>4</v>
      </c>
      <c r="B107" s="159" t="s">
        <v>7</v>
      </c>
      <c r="C107" s="159" t="s">
        <v>1015</v>
      </c>
      <c r="D107" s="159" t="s">
        <v>1016</v>
      </c>
      <c r="E107" s="159" t="s">
        <v>1016</v>
      </c>
      <c r="F107" s="160">
        <v>2.4</v>
      </c>
      <c r="G107" s="160">
        <v>3</v>
      </c>
      <c r="H107" s="160">
        <v>3.6</v>
      </c>
      <c r="I107" s="160">
        <v>3.6</v>
      </c>
      <c r="J107" s="161">
        <v>3415</v>
      </c>
      <c r="K107" s="159" t="str">
        <f t="shared" si="3"/>
        <v>A:2,40 x C:3,00 x L:3,60-3,60 x P:3.415kg</v>
      </c>
      <c r="N107" s="159" t="str">
        <f t="shared" si="2"/>
        <v>000809068</v>
      </c>
      <c r="O107" s="165">
        <v>809068000116</v>
      </c>
      <c r="P107" s="159" t="s">
        <v>1017</v>
      </c>
      <c r="Q107" s="159" t="s">
        <v>1018</v>
      </c>
      <c r="R107" s="159" t="s">
        <v>1019</v>
      </c>
      <c r="S107" s="2" t="s">
        <v>965</v>
      </c>
    </row>
    <row r="108" spans="1:19" x14ac:dyDescent="0.3">
      <c r="A108" s="159">
        <v>4</v>
      </c>
      <c r="B108" s="159" t="s">
        <v>7</v>
      </c>
      <c r="C108" s="159" t="s">
        <v>1015</v>
      </c>
      <c r="D108" s="159" t="s">
        <v>1020</v>
      </c>
      <c r="E108" s="159" t="s">
        <v>1020</v>
      </c>
      <c r="F108" s="160">
        <v>2.4</v>
      </c>
      <c r="G108" s="160">
        <v>3</v>
      </c>
      <c r="H108" s="160">
        <v>4.3</v>
      </c>
      <c r="I108" s="160">
        <v>4.3</v>
      </c>
      <c r="J108" s="161">
        <v>4210</v>
      </c>
      <c r="K108" s="159" t="str">
        <f t="shared" si="3"/>
        <v>A:2,40 x C:3,00 x L:4,30-4,30 x P:4.210kg</v>
      </c>
      <c r="N108" s="159" t="str">
        <f t="shared" si="2"/>
        <v>018252586</v>
      </c>
      <c r="O108" s="165">
        <v>18252586000147</v>
      </c>
      <c r="P108" s="159" t="s">
        <v>1021</v>
      </c>
      <c r="Q108" s="159" t="s">
        <v>1022</v>
      </c>
      <c r="R108" s="159" t="s">
        <v>1023</v>
      </c>
      <c r="S108" s="2" t="s">
        <v>965</v>
      </c>
    </row>
    <row r="109" spans="1:19" x14ac:dyDescent="0.3">
      <c r="A109" s="159">
        <v>4</v>
      </c>
      <c r="B109" s="159" t="s">
        <v>7</v>
      </c>
      <c r="C109" s="159" t="s">
        <v>1015</v>
      </c>
      <c r="D109" s="159" t="s">
        <v>1024</v>
      </c>
      <c r="E109" s="159" t="s">
        <v>1024</v>
      </c>
      <c r="F109" s="160">
        <v>2.4</v>
      </c>
      <c r="G109" s="160">
        <v>3</v>
      </c>
      <c r="H109" s="160">
        <v>5.2</v>
      </c>
      <c r="I109" s="160">
        <v>5.2</v>
      </c>
      <c r="J109" s="161">
        <v>4940</v>
      </c>
      <c r="K109" s="159" t="str">
        <f t="shared" si="3"/>
        <v>A:2,40 x C:3,00 x L:5,20-5,20 x P:4.940kg</v>
      </c>
      <c r="N109" s="159" t="str">
        <f t="shared" si="2"/>
        <v>045137364</v>
      </c>
      <c r="O109" s="165">
        <v>45137364000156</v>
      </c>
      <c r="P109" s="159" t="s">
        <v>1025</v>
      </c>
      <c r="Q109" s="159" t="s">
        <v>1026</v>
      </c>
      <c r="R109" s="159" t="s">
        <v>599</v>
      </c>
      <c r="S109" s="2" t="s">
        <v>965</v>
      </c>
    </row>
    <row r="110" spans="1:19" x14ac:dyDescent="0.3">
      <c r="A110" s="159">
        <v>4</v>
      </c>
      <c r="B110" s="159" t="s">
        <v>7</v>
      </c>
      <c r="C110" s="159" t="s">
        <v>1015</v>
      </c>
      <c r="D110" s="159" t="s">
        <v>1027</v>
      </c>
      <c r="E110" s="159" t="s">
        <v>1027</v>
      </c>
      <c r="F110" s="160">
        <v>2.4</v>
      </c>
      <c r="G110" s="160">
        <v>3</v>
      </c>
      <c r="H110" s="160">
        <v>6.2</v>
      </c>
      <c r="I110" s="160">
        <v>6.2</v>
      </c>
      <c r="J110" s="161">
        <v>5625</v>
      </c>
      <c r="K110" s="159" t="str">
        <f t="shared" si="3"/>
        <v>A:2,40 x C:3,00 x L:6,20-6,20 x P:5.625kg</v>
      </c>
      <c r="N110" s="159" t="str">
        <f t="shared" si="2"/>
        <v>043197553</v>
      </c>
      <c r="O110" s="165">
        <v>43197553000199</v>
      </c>
      <c r="P110" s="159" t="s">
        <v>1028</v>
      </c>
      <c r="Q110" s="159" t="s">
        <v>1029</v>
      </c>
      <c r="R110" s="159" t="s">
        <v>1030</v>
      </c>
      <c r="S110" s="2" t="s">
        <v>965</v>
      </c>
    </row>
    <row r="111" spans="1:19" x14ac:dyDescent="0.3">
      <c r="A111" s="159">
        <v>4</v>
      </c>
      <c r="B111" s="159" t="s">
        <v>7</v>
      </c>
      <c r="C111" s="159" t="s">
        <v>1015</v>
      </c>
      <c r="D111" s="159" t="s">
        <v>1031</v>
      </c>
      <c r="E111" s="159" t="s">
        <v>1031</v>
      </c>
      <c r="F111" s="160">
        <v>2.4500000000000002</v>
      </c>
      <c r="G111" s="160">
        <v>4.0999999999999996</v>
      </c>
      <c r="H111" s="160">
        <v>3.2</v>
      </c>
      <c r="I111" s="160">
        <v>3.2</v>
      </c>
      <c r="J111" s="161">
        <v>3760</v>
      </c>
      <c r="K111" s="159" t="str">
        <f t="shared" si="3"/>
        <v>A:2,45 x C:4,10 x L:3,20-3,20 x P:3.760kg</v>
      </c>
      <c r="N111" s="159" t="str">
        <f t="shared" si="2"/>
        <v>040952314</v>
      </c>
      <c r="O111" s="165">
        <v>40952314000109</v>
      </c>
      <c r="P111" s="159" t="s">
        <v>1032</v>
      </c>
      <c r="Q111" s="159" t="s">
        <v>1033</v>
      </c>
      <c r="R111" s="159" t="s">
        <v>1034</v>
      </c>
      <c r="S111" s="155" t="s">
        <v>965</v>
      </c>
    </row>
    <row r="112" spans="1:19" x14ac:dyDescent="0.3">
      <c r="A112" s="159">
        <v>4</v>
      </c>
      <c r="B112" s="159" t="s">
        <v>7</v>
      </c>
      <c r="C112" s="159" t="s">
        <v>1015</v>
      </c>
      <c r="D112" s="159" t="s">
        <v>1035</v>
      </c>
      <c r="E112" s="159" t="s">
        <v>1035</v>
      </c>
      <c r="F112" s="160">
        <v>2.4500000000000002</v>
      </c>
      <c r="G112" s="160">
        <v>5</v>
      </c>
      <c r="H112" s="160">
        <v>3.2</v>
      </c>
      <c r="I112" s="160">
        <v>3.2</v>
      </c>
      <c r="J112" s="161">
        <v>4750</v>
      </c>
      <c r="K112" s="159" t="str">
        <f t="shared" si="3"/>
        <v>A:2,45 x C:5,00 x L:3,20-3,20 x P:4.750kg</v>
      </c>
      <c r="N112" s="159" t="str">
        <f t="shared" si="2"/>
        <v>016666005</v>
      </c>
      <c r="O112" s="165">
        <v>16666005000198</v>
      </c>
      <c r="P112" s="159" t="s">
        <v>1036</v>
      </c>
      <c r="Q112" s="159" t="s">
        <v>1037</v>
      </c>
      <c r="R112" s="159" t="s">
        <v>599</v>
      </c>
      <c r="S112" s="155" t="s">
        <v>965</v>
      </c>
    </row>
    <row r="113" spans="1:19" x14ac:dyDescent="0.3">
      <c r="A113" s="159">
        <v>4</v>
      </c>
      <c r="B113" s="159" t="s">
        <v>7</v>
      </c>
      <c r="C113" s="159" t="s">
        <v>1015</v>
      </c>
      <c r="D113" s="159" t="s">
        <v>1038</v>
      </c>
      <c r="E113" s="159" t="s">
        <v>1038</v>
      </c>
      <c r="F113" s="160">
        <v>2.4500000000000002</v>
      </c>
      <c r="G113" s="160">
        <v>6</v>
      </c>
      <c r="H113" s="160">
        <v>3.2</v>
      </c>
      <c r="I113" s="160">
        <v>3.2</v>
      </c>
      <c r="J113" s="161">
        <v>5190</v>
      </c>
      <c r="K113" s="159" t="str">
        <f t="shared" si="3"/>
        <v>A:2,45 x C:6,00 x L:3,20-3,20 x P:5.190kg</v>
      </c>
      <c r="N113" s="159" t="str">
        <f t="shared" si="2"/>
        <v>032083509</v>
      </c>
      <c r="O113" s="165">
        <v>32083509000131</v>
      </c>
      <c r="P113" s="159" t="s">
        <v>1039</v>
      </c>
      <c r="Q113" s="159" t="s">
        <v>1040</v>
      </c>
      <c r="R113" s="159" t="s">
        <v>550</v>
      </c>
      <c r="S113" s="155" t="s">
        <v>965</v>
      </c>
    </row>
    <row r="114" spans="1:19" x14ac:dyDescent="0.3">
      <c r="A114" s="159">
        <v>4</v>
      </c>
      <c r="B114" s="159" t="s">
        <v>7</v>
      </c>
      <c r="C114" s="159" t="s">
        <v>1015</v>
      </c>
      <c r="D114" s="159" t="s">
        <v>1041</v>
      </c>
      <c r="E114" s="159" t="s">
        <v>1041</v>
      </c>
      <c r="F114" s="160">
        <v>2.4500000000000002</v>
      </c>
      <c r="G114" s="160">
        <v>7</v>
      </c>
      <c r="H114" s="160">
        <v>3.2</v>
      </c>
      <c r="I114" s="160">
        <v>3.2</v>
      </c>
      <c r="J114" s="161">
        <v>6025</v>
      </c>
      <c r="K114" s="159" t="str">
        <f t="shared" si="3"/>
        <v>A:2,45 x C:7,00 x L:3,20-3,20 x P:6.025kg</v>
      </c>
      <c r="N114" s="159" t="str">
        <f t="shared" si="2"/>
        <v>029730518</v>
      </c>
      <c r="O114" s="165">
        <v>29730518000162</v>
      </c>
      <c r="P114" s="159" t="s">
        <v>1042</v>
      </c>
      <c r="Q114" s="159" t="s">
        <v>1043</v>
      </c>
      <c r="R114" s="159" t="s">
        <v>599</v>
      </c>
      <c r="S114" s="2" t="s">
        <v>965</v>
      </c>
    </row>
    <row r="115" spans="1:19" x14ac:dyDescent="0.3">
      <c r="A115" s="159">
        <v>4</v>
      </c>
      <c r="B115" s="159" t="s">
        <v>7</v>
      </c>
      <c r="C115" s="159" t="s">
        <v>1015</v>
      </c>
      <c r="D115" s="159" t="s">
        <v>1044</v>
      </c>
      <c r="E115" s="159" t="s">
        <v>1044</v>
      </c>
      <c r="F115" s="160">
        <v>2.5</v>
      </c>
      <c r="G115" s="160">
        <v>7.2</v>
      </c>
      <c r="H115" s="160">
        <v>4</v>
      </c>
      <c r="I115" s="160">
        <v>4</v>
      </c>
      <c r="J115" s="161">
        <v>6500</v>
      </c>
      <c r="K115" s="159" t="str">
        <f t="shared" si="3"/>
        <v>A:2,50 x C:7,20 x L:4,00-4,00 x P:6.500kg</v>
      </c>
      <c r="N115" s="159" t="str">
        <f t="shared" si="2"/>
        <v>028176140</v>
      </c>
      <c r="O115" s="165">
        <v>28176140000134</v>
      </c>
      <c r="P115" s="159" t="s">
        <v>1045</v>
      </c>
      <c r="Q115" s="159" t="s">
        <v>1046</v>
      </c>
      <c r="R115" s="159" t="s">
        <v>948</v>
      </c>
      <c r="S115" s="155" t="s">
        <v>965</v>
      </c>
    </row>
    <row r="116" spans="1:19" x14ac:dyDescent="0.3">
      <c r="A116" s="159">
        <v>4</v>
      </c>
      <c r="B116" s="159" t="s">
        <v>7</v>
      </c>
      <c r="C116" s="159" t="s">
        <v>1015</v>
      </c>
      <c r="D116" s="159" t="s">
        <v>1047</v>
      </c>
      <c r="E116" s="159" t="s">
        <v>1047</v>
      </c>
      <c r="F116" s="160">
        <v>2.5</v>
      </c>
      <c r="G116" s="160">
        <v>8</v>
      </c>
      <c r="H116" s="160">
        <v>4</v>
      </c>
      <c r="I116" s="160">
        <v>4</v>
      </c>
      <c r="J116" s="161">
        <v>7350</v>
      </c>
      <c r="K116" s="159" t="str">
        <f t="shared" si="3"/>
        <v>A:2,50 x C:8,00 x L:4,00-4,00 x P:7.350kg</v>
      </c>
      <c r="N116" s="159" t="str">
        <f t="shared" si="2"/>
        <v>046304055</v>
      </c>
      <c r="O116" s="165">
        <v>46304055000196</v>
      </c>
      <c r="P116" s="159" t="s">
        <v>1048</v>
      </c>
      <c r="Q116" s="159" t="s">
        <v>363</v>
      </c>
      <c r="R116" s="159" t="s">
        <v>591</v>
      </c>
      <c r="S116" s="2" t="s">
        <v>965</v>
      </c>
    </row>
    <row r="117" spans="1:19" x14ac:dyDescent="0.3">
      <c r="A117" s="159">
        <v>4</v>
      </c>
      <c r="B117" s="159" t="s">
        <v>7</v>
      </c>
      <c r="C117" s="159" t="s">
        <v>1015</v>
      </c>
      <c r="D117" s="159" t="s">
        <v>1049</v>
      </c>
      <c r="E117" s="159" t="s">
        <v>1049</v>
      </c>
      <c r="F117" s="160">
        <v>2.5</v>
      </c>
      <c r="G117" s="160">
        <v>8.9</v>
      </c>
      <c r="H117" s="160">
        <v>4</v>
      </c>
      <c r="I117" s="160">
        <v>4</v>
      </c>
      <c r="J117" s="161">
        <v>8000</v>
      </c>
      <c r="K117" s="159" t="str">
        <f t="shared" si="3"/>
        <v>A:2,50 x C:8,90 x L:4,00-4,00 x P:8.000kg</v>
      </c>
      <c r="N117" s="159" t="str">
        <f t="shared" si="2"/>
        <v>041996351</v>
      </c>
      <c r="O117" s="165">
        <v>41996351000181</v>
      </c>
      <c r="P117" s="159" t="s">
        <v>1050</v>
      </c>
      <c r="Q117" s="159" t="s">
        <v>1051</v>
      </c>
      <c r="R117" s="159" t="s">
        <v>599</v>
      </c>
      <c r="S117" s="2" t="s">
        <v>965</v>
      </c>
    </row>
    <row r="118" spans="1:19" x14ac:dyDescent="0.3">
      <c r="A118" s="159">
        <v>4</v>
      </c>
      <c r="B118" s="159" t="s">
        <v>7</v>
      </c>
      <c r="C118" s="159" t="s">
        <v>1015</v>
      </c>
      <c r="D118" s="159" t="s">
        <v>1052</v>
      </c>
      <c r="E118" s="159" t="s">
        <v>1052</v>
      </c>
      <c r="F118" s="160">
        <v>2.5</v>
      </c>
      <c r="G118" s="160">
        <v>11.65</v>
      </c>
      <c r="H118" s="160">
        <v>4</v>
      </c>
      <c r="I118" s="160">
        <v>4</v>
      </c>
      <c r="J118" s="161">
        <v>13100</v>
      </c>
      <c r="K118" s="159" t="str">
        <f t="shared" si="3"/>
        <v>A:2,50 x C:11,65 x L:4,00-4,00 x P:13.100kg</v>
      </c>
      <c r="N118" s="159" t="str">
        <f t="shared" si="2"/>
        <v>061028125</v>
      </c>
      <c r="O118" s="165">
        <v>61028125000114</v>
      </c>
      <c r="P118" s="159" t="s">
        <v>1053</v>
      </c>
      <c r="Q118" s="159" t="s">
        <v>456</v>
      </c>
      <c r="R118" s="159" t="s">
        <v>566</v>
      </c>
      <c r="S118" s="2" t="s">
        <v>965</v>
      </c>
    </row>
    <row r="119" spans="1:19" x14ac:dyDescent="0.3">
      <c r="A119" s="159">
        <v>4</v>
      </c>
      <c r="B119" s="159" t="s">
        <v>7</v>
      </c>
      <c r="C119" s="159" t="s">
        <v>1015</v>
      </c>
      <c r="D119" s="159" t="s">
        <v>1054</v>
      </c>
      <c r="E119" s="159" t="s">
        <v>1054</v>
      </c>
      <c r="F119" s="160">
        <v>2.5</v>
      </c>
      <c r="G119" s="160">
        <v>13.45</v>
      </c>
      <c r="H119" s="160">
        <v>4</v>
      </c>
      <c r="I119" s="160">
        <v>4</v>
      </c>
      <c r="J119" s="161">
        <v>14100</v>
      </c>
      <c r="K119" s="159" t="str">
        <f t="shared" si="3"/>
        <v>A:2,50 x C:13,45 x L:4,00-4,00 x P:14.100kg</v>
      </c>
      <c r="N119" s="159" t="str">
        <f t="shared" si="2"/>
        <v>020060680</v>
      </c>
      <c r="O119" s="165">
        <v>20060680000146</v>
      </c>
      <c r="P119" s="159" t="s">
        <v>1055</v>
      </c>
      <c r="Q119" s="159" t="s">
        <v>1056</v>
      </c>
      <c r="R119" s="159" t="s">
        <v>606</v>
      </c>
      <c r="S119" s="2" t="s">
        <v>965</v>
      </c>
    </row>
    <row r="120" spans="1:19" x14ac:dyDescent="0.3">
      <c r="A120" s="159">
        <v>4</v>
      </c>
      <c r="B120" s="159" t="s">
        <v>7</v>
      </c>
      <c r="C120" s="159" t="s">
        <v>1015</v>
      </c>
      <c r="D120" s="159" t="s">
        <v>1057</v>
      </c>
      <c r="E120" s="159" t="s">
        <v>1057</v>
      </c>
      <c r="F120" s="160">
        <v>2.5</v>
      </c>
      <c r="G120" s="160">
        <v>14.35</v>
      </c>
      <c r="H120" s="160">
        <v>4</v>
      </c>
      <c r="I120" s="160">
        <v>4</v>
      </c>
      <c r="J120" s="161">
        <v>14950</v>
      </c>
      <c r="K120" s="159" t="str">
        <f t="shared" si="3"/>
        <v>A:2,50 x C:14,35 x L:4,00-4,00 x P:14.950kg</v>
      </c>
      <c r="N120" s="159" t="str">
        <f t="shared" si="2"/>
        <v>062111348</v>
      </c>
      <c r="O120" s="165">
        <v>62111348000103</v>
      </c>
      <c r="P120" s="159" t="s">
        <v>1058</v>
      </c>
      <c r="Q120" s="159" t="s">
        <v>1059</v>
      </c>
      <c r="R120" s="159" t="s">
        <v>606</v>
      </c>
      <c r="S120" s="2" t="s">
        <v>965</v>
      </c>
    </row>
    <row r="121" spans="1:19" x14ac:dyDescent="0.3">
      <c r="A121" s="159">
        <v>4</v>
      </c>
      <c r="B121" s="159" t="s">
        <v>7</v>
      </c>
      <c r="C121" s="159" t="s">
        <v>1015</v>
      </c>
      <c r="D121" s="159" t="s">
        <v>1060</v>
      </c>
      <c r="E121" s="159" t="s">
        <v>1060</v>
      </c>
      <c r="F121" s="160">
        <v>2.5</v>
      </c>
      <c r="G121" s="160">
        <v>15.55</v>
      </c>
      <c r="H121" s="160">
        <v>4</v>
      </c>
      <c r="I121" s="160">
        <v>4</v>
      </c>
      <c r="J121" s="161">
        <v>16800</v>
      </c>
      <c r="K121" s="159" t="str">
        <f t="shared" si="3"/>
        <v>A:2,50 x C:15,55 x L:4,00-4,00 x P:16.800kg</v>
      </c>
      <c r="N121" s="159" t="str">
        <f t="shared" si="2"/>
        <v>061259226</v>
      </c>
      <c r="O121" s="165">
        <v>61259226000104</v>
      </c>
      <c r="P121" s="159" t="s">
        <v>1061</v>
      </c>
      <c r="Q121" s="159" t="s">
        <v>466</v>
      </c>
      <c r="R121" s="159" t="s">
        <v>1062</v>
      </c>
      <c r="S121" s="2" t="s">
        <v>965</v>
      </c>
    </row>
    <row r="122" spans="1:19" x14ac:dyDescent="0.3">
      <c r="A122" s="159">
        <v>4</v>
      </c>
      <c r="B122" s="159" t="s">
        <v>7</v>
      </c>
      <c r="C122" s="159" t="s">
        <v>1015</v>
      </c>
      <c r="D122" s="159" t="s">
        <v>1063</v>
      </c>
      <c r="E122" s="159" t="s">
        <v>1063</v>
      </c>
      <c r="F122" s="160">
        <v>3.7</v>
      </c>
      <c r="G122" s="160">
        <v>12.5</v>
      </c>
      <c r="H122" s="160">
        <v>6.2</v>
      </c>
      <c r="I122" s="160">
        <v>6.2</v>
      </c>
      <c r="J122" s="161">
        <v>14144</v>
      </c>
      <c r="K122" s="159" t="str">
        <f t="shared" si="3"/>
        <v>A:3,70 x C:12,50 x L:6,20-6,20 x P:14.144kg</v>
      </c>
      <c r="N122" s="159" t="str">
        <f t="shared" si="2"/>
        <v>060472749</v>
      </c>
      <c r="O122" s="165">
        <v>60472749000163</v>
      </c>
      <c r="P122" s="159" t="s">
        <v>1064</v>
      </c>
      <c r="Q122" s="159" t="s">
        <v>1065</v>
      </c>
      <c r="R122" s="159" t="s">
        <v>566</v>
      </c>
      <c r="S122" s="2" t="s">
        <v>965</v>
      </c>
    </row>
    <row r="123" spans="1:19" x14ac:dyDescent="0.3">
      <c r="A123" s="159">
        <v>4</v>
      </c>
      <c r="B123" s="159" t="s">
        <v>7</v>
      </c>
      <c r="C123" s="159" t="s">
        <v>1015</v>
      </c>
      <c r="D123" s="159" t="s">
        <v>1066</v>
      </c>
      <c r="E123" s="159" t="s">
        <v>1066</v>
      </c>
      <c r="F123" s="160">
        <v>3.7</v>
      </c>
      <c r="G123" s="160">
        <v>12.5</v>
      </c>
      <c r="H123" s="160">
        <v>6.2</v>
      </c>
      <c r="I123" s="160">
        <v>6.2</v>
      </c>
      <c r="J123" s="161">
        <v>15980</v>
      </c>
      <c r="K123" s="159" t="str">
        <f t="shared" si="3"/>
        <v>A:3,70 x C:12,50 x L:6,20-6,20 x P:15.980kg</v>
      </c>
      <c r="N123" s="159" t="str">
        <f t="shared" si="2"/>
        <v>048269792</v>
      </c>
      <c r="O123" s="165">
        <v>48269792000120</v>
      </c>
      <c r="P123" s="159" t="s">
        <v>1067</v>
      </c>
      <c r="Q123" s="159" t="s">
        <v>1068</v>
      </c>
      <c r="R123" s="159" t="s">
        <v>1069</v>
      </c>
      <c r="S123" s="2" t="s">
        <v>965</v>
      </c>
    </row>
    <row r="124" spans="1:19" x14ac:dyDescent="0.3">
      <c r="A124" s="159">
        <v>4</v>
      </c>
      <c r="B124" s="159" t="s">
        <v>7</v>
      </c>
      <c r="C124" s="159" t="s">
        <v>1015</v>
      </c>
      <c r="D124" s="159" t="s">
        <v>1070</v>
      </c>
      <c r="E124" s="159" t="s">
        <v>1070</v>
      </c>
      <c r="F124" s="160">
        <v>3.7</v>
      </c>
      <c r="G124" s="160">
        <v>16.2</v>
      </c>
      <c r="H124" s="160">
        <v>6.2</v>
      </c>
      <c r="I124" s="160">
        <v>6.2</v>
      </c>
      <c r="J124" s="161">
        <v>21279</v>
      </c>
      <c r="K124" s="159" t="str">
        <f t="shared" si="3"/>
        <v>A:3,70 x C:16,20 x L:6,20-6,20 x P:21.279kg</v>
      </c>
      <c r="N124" s="159" t="str">
        <f t="shared" si="2"/>
        <v>006233947</v>
      </c>
      <c r="O124" s="165">
        <v>6233947000129</v>
      </c>
      <c r="P124" s="159" t="s">
        <v>1071</v>
      </c>
      <c r="Q124" s="159" t="s">
        <v>482</v>
      </c>
      <c r="R124" s="159" t="s">
        <v>1072</v>
      </c>
      <c r="S124" s="2" t="s">
        <v>965</v>
      </c>
    </row>
    <row r="125" spans="1:19" x14ac:dyDescent="0.3">
      <c r="A125" s="159">
        <v>4</v>
      </c>
      <c r="B125" s="159" t="s">
        <v>7</v>
      </c>
      <c r="C125" s="159" t="s">
        <v>1015</v>
      </c>
      <c r="D125" s="159" t="s">
        <v>1073</v>
      </c>
      <c r="E125" s="159" t="s">
        <v>1073</v>
      </c>
      <c r="F125" s="160">
        <v>3.7</v>
      </c>
      <c r="G125" s="160">
        <v>18.3</v>
      </c>
      <c r="H125" s="160">
        <v>6.2</v>
      </c>
      <c r="I125" s="160">
        <v>6.2</v>
      </c>
      <c r="J125" s="161">
        <v>29500</v>
      </c>
      <c r="K125" s="159" t="str">
        <f t="shared" si="3"/>
        <v>A:3,70 x C:18,30 x L:6,20-6,20 x P:29.500kg</v>
      </c>
      <c r="N125" s="159" t="str">
        <f t="shared" si="2"/>
        <v>044139289</v>
      </c>
      <c r="O125" s="165">
        <v>44139289000108</v>
      </c>
      <c r="P125" s="159" t="s">
        <v>1074</v>
      </c>
      <c r="Q125" s="159" t="s">
        <v>1075</v>
      </c>
      <c r="R125" s="159" t="s">
        <v>1076</v>
      </c>
      <c r="S125" s="2" t="s">
        <v>965</v>
      </c>
    </row>
    <row r="126" spans="1:19" x14ac:dyDescent="0.3">
      <c r="A126" s="159">
        <v>5</v>
      </c>
      <c r="B126" s="159" t="s">
        <v>9</v>
      </c>
      <c r="C126" s="159" t="s">
        <v>1077</v>
      </c>
      <c r="D126" s="159" t="s">
        <v>1078</v>
      </c>
      <c r="E126" s="159" t="s">
        <v>1079</v>
      </c>
      <c r="F126" s="160">
        <v>3.34</v>
      </c>
      <c r="G126" s="160">
        <v>7</v>
      </c>
      <c r="H126" s="160">
        <v>2.72</v>
      </c>
      <c r="I126" s="160">
        <v>3.3</v>
      </c>
      <c r="J126" s="161">
        <v>9703</v>
      </c>
      <c r="K126" s="159" t="str">
        <f t="shared" si="3"/>
        <v>A:3,34 x C:7,00 x L:2,72-3,30 x P:9.703kg</v>
      </c>
      <c r="N126" s="159" t="str">
        <f t="shared" si="2"/>
        <v>060968275</v>
      </c>
      <c r="O126" s="165">
        <v>60968275000145</v>
      </c>
      <c r="P126" s="159" t="s">
        <v>1080</v>
      </c>
      <c r="Q126" s="159" t="s">
        <v>1081</v>
      </c>
      <c r="R126" s="159" t="s">
        <v>767</v>
      </c>
      <c r="S126" s="2" t="s">
        <v>965</v>
      </c>
    </row>
    <row r="127" spans="1:19" x14ac:dyDescent="0.3">
      <c r="A127" s="159">
        <v>5</v>
      </c>
      <c r="B127" s="159" t="s">
        <v>9</v>
      </c>
      <c r="C127" s="159" t="s">
        <v>1077</v>
      </c>
      <c r="D127" s="159" t="s">
        <v>1082</v>
      </c>
      <c r="E127" s="159" t="s">
        <v>1083</v>
      </c>
      <c r="F127" s="160">
        <v>3.35</v>
      </c>
      <c r="G127" s="160">
        <v>7.5</v>
      </c>
      <c r="H127" s="160">
        <v>3.12</v>
      </c>
      <c r="I127" s="160">
        <v>3.94</v>
      </c>
      <c r="J127" s="161">
        <v>10000</v>
      </c>
      <c r="K127" s="159" t="str">
        <f t="shared" si="3"/>
        <v>A:3,35 x C:7,50 x L:3,12-3,94 x P:10.000kg</v>
      </c>
      <c r="N127" s="159" t="str">
        <f t="shared" si="2"/>
        <v>018725298</v>
      </c>
      <c r="O127" s="165">
        <v>18725298000162</v>
      </c>
      <c r="P127" s="159" t="s">
        <v>1084</v>
      </c>
      <c r="Q127" s="159" t="s">
        <v>370</v>
      </c>
      <c r="R127" s="159" t="s">
        <v>566</v>
      </c>
      <c r="S127" s="2" t="s">
        <v>965</v>
      </c>
    </row>
    <row r="128" spans="1:19" x14ac:dyDescent="0.3">
      <c r="A128" s="159">
        <v>5</v>
      </c>
      <c r="B128" s="159" t="s">
        <v>9</v>
      </c>
      <c r="C128" s="159" t="s">
        <v>1077</v>
      </c>
      <c r="D128" s="159" t="s">
        <v>1085</v>
      </c>
      <c r="E128" s="159" t="s">
        <v>1086</v>
      </c>
      <c r="F128" s="160">
        <v>3.35</v>
      </c>
      <c r="G128" s="160">
        <v>7.5</v>
      </c>
      <c r="H128" s="160">
        <v>3.12</v>
      </c>
      <c r="I128" s="160">
        <v>3.94</v>
      </c>
      <c r="J128" s="161">
        <v>10200</v>
      </c>
      <c r="K128" s="159" t="str">
        <f t="shared" si="3"/>
        <v>A:3,35 x C:7,50 x L:3,12-3,94 x P:10.200kg</v>
      </c>
      <c r="N128" s="159" t="str">
        <f t="shared" si="2"/>
        <v>010741822</v>
      </c>
      <c r="O128" s="165">
        <v>10741822000187</v>
      </c>
      <c r="P128" s="159" t="s">
        <v>1087</v>
      </c>
      <c r="Q128" s="159" t="s">
        <v>1088</v>
      </c>
      <c r="R128" s="159" t="s">
        <v>599</v>
      </c>
      <c r="S128" s="2" t="s">
        <v>965</v>
      </c>
    </row>
    <row r="129" spans="1:19" x14ac:dyDescent="0.3">
      <c r="A129" s="159">
        <v>5</v>
      </c>
      <c r="B129" s="159" t="s">
        <v>9</v>
      </c>
      <c r="C129" s="159" t="s">
        <v>1077</v>
      </c>
      <c r="D129" s="159" t="s">
        <v>1089</v>
      </c>
      <c r="E129" s="159" t="s">
        <v>1090</v>
      </c>
      <c r="F129" s="160">
        <v>3.36</v>
      </c>
      <c r="G129" s="160">
        <v>7.8</v>
      </c>
      <c r="H129" s="160">
        <v>2.29</v>
      </c>
      <c r="I129" s="160">
        <v>3.05</v>
      </c>
      <c r="J129" s="161">
        <v>8350</v>
      </c>
      <c r="K129" s="159" t="str">
        <f t="shared" si="3"/>
        <v>A:3,36 x C:7,80 x L:2,29-3,05 x P:8.350kg</v>
      </c>
      <c r="N129" s="159" t="str">
        <f t="shared" si="2"/>
        <v>019082116</v>
      </c>
      <c r="O129" s="165">
        <v>19082116000145</v>
      </c>
      <c r="P129" s="159" t="s">
        <v>1091</v>
      </c>
      <c r="Q129" s="159" t="s">
        <v>1092</v>
      </c>
      <c r="R129" s="159" t="s">
        <v>606</v>
      </c>
      <c r="S129" s="2" t="s">
        <v>965</v>
      </c>
    </row>
    <row r="130" spans="1:19" x14ac:dyDescent="0.3">
      <c r="A130" s="159">
        <v>5</v>
      </c>
      <c r="B130" s="159" t="s">
        <v>9</v>
      </c>
      <c r="C130" s="159" t="s">
        <v>1015</v>
      </c>
      <c r="D130" s="159" t="s">
        <v>1093</v>
      </c>
      <c r="E130" s="159" t="s">
        <v>1093</v>
      </c>
      <c r="F130" s="160">
        <v>3.35</v>
      </c>
      <c r="G130" s="160">
        <v>6.5</v>
      </c>
      <c r="H130" s="160">
        <v>2.8</v>
      </c>
      <c r="I130" s="160">
        <v>3.2</v>
      </c>
      <c r="J130" s="161">
        <v>8100</v>
      </c>
      <c r="K130" s="159" t="str">
        <f t="shared" si="3"/>
        <v>A:3,35 x C:6,50 x L:2,80-3,20 x P:8.100kg</v>
      </c>
      <c r="N130" s="159" t="str">
        <f t="shared" ref="N130:N193" si="4">"0"&amp;LEFT(TEXT(SUBSTITUTE(SUBSTITUTE(SUBSTITUTE(O130,".",""),"/",""),"-",""),"00000000000000"),8)</f>
        <v>021272666</v>
      </c>
      <c r="O130" s="165">
        <v>21272666000179</v>
      </c>
      <c r="P130" s="159" t="s">
        <v>1094</v>
      </c>
      <c r="Q130" s="159" t="s">
        <v>1095</v>
      </c>
      <c r="R130" s="159" t="s">
        <v>606</v>
      </c>
      <c r="S130" s="2" t="s">
        <v>965</v>
      </c>
    </row>
    <row r="131" spans="1:19" x14ac:dyDescent="0.3">
      <c r="A131" s="159">
        <v>5</v>
      </c>
      <c r="B131" s="159" t="s">
        <v>9</v>
      </c>
      <c r="C131" s="159" t="s">
        <v>1015</v>
      </c>
      <c r="D131" s="159" t="s">
        <v>1096</v>
      </c>
      <c r="E131" s="159" t="s">
        <v>1096</v>
      </c>
      <c r="F131" s="160">
        <v>2.35</v>
      </c>
      <c r="G131" s="160">
        <v>7</v>
      </c>
      <c r="H131" s="160">
        <v>3.2</v>
      </c>
      <c r="I131" s="160">
        <v>3.2</v>
      </c>
      <c r="J131" s="161">
        <v>8315</v>
      </c>
      <c r="K131" s="159" t="str">
        <f t="shared" ref="K131:K136" si="5">"A:"&amp;TEXT(F131,"0,00")&amp;" x C:"&amp;TEXT(G131,"0,00")&amp;" x L:"&amp;TEXT(H131,"0,00")&amp;"-"&amp;TEXT(I131,"0,00")&amp;" x P:"&amp;TEXT(J131,"0.00")&amp;"kg"</f>
        <v>A:2,35 x C:7,00 x L:3,20-3,20 x P:8.315kg</v>
      </c>
      <c r="N131" s="159" t="str">
        <f t="shared" si="4"/>
        <v>004770253</v>
      </c>
      <c r="O131" s="165">
        <v>4770253000103</v>
      </c>
      <c r="P131" s="159" t="s">
        <v>1097</v>
      </c>
      <c r="Q131" s="159" t="s">
        <v>1098</v>
      </c>
      <c r="R131" s="159" t="s">
        <v>1099</v>
      </c>
      <c r="S131" s="2" t="s">
        <v>965</v>
      </c>
    </row>
    <row r="132" spans="1:19" x14ac:dyDescent="0.3">
      <c r="A132" s="159">
        <v>6</v>
      </c>
      <c r="B132" s="159" t="s">
        <v>1100</v>
      </c>
      <c r="C132" s="159" t="s">
        <v>1101</v>
      </c>
      <c r="D132" s="159" t="s">
        <v>1102</v>
      </c>
      <c r="E132" s="159" t="s">
        <v>1102</v>
      </c>
      <c r="F132" s="160">
        <v>3.9</v>
      </c>
      <c r="G132" s="160">
        <v>6.5</v>
      </c>
      <c r="H132" s="160">
        <v>3.2</v>
      </c>
      <c r="I132" s="160">
        <v>3.5</v>
      </c>
      <c r="J132" s="161">
        <v>15000</v>
      </c>
      <c r="K132" s="159" t="str">
        <f t="shared" si="5"/>
        <v>A:3,90 x C:6,50 x L:3,20-3,50 x P:15.000kg</v>
      </c>
      <c r="N132" s="159" t="str">
        <f t="shared" si="4"/>
        <v>030877442</v>
      </c>
      <c r="O132" s="165">
        <v>30877442000181</v>
      </c>
      <c r="P132" s="159" t="s">
        <v>1103</v>
      </c>
      <c r="Q132" s="159" t="s">
        <v>446</v>
      </c>
      <c r="R132" s="159" t="s">
        <v>591</v>
      </c>
      <c r="S132" s="2" t="s">
        <v>965</v>
      </c>
    </row>
    <row r="133" spans="1:19" x14ac:dyDescent="0.3">
      <c r="A133" s="159">
        <v>6</v>
      </c>
      <c r="B133" s="159" t="s">
        <v>1100</v>
      </c>
      <c r="C133" s="159" t="s">
        <v>1101</v>
      </c>
      <c r="D133" s="159" t="s">
        <v>1104</v>
      </c>
      <c r="E133" s="159" t="s">
        <v>1104</v>
      </c>
      <c r="F133" s="160">
        <v>3.9</v>
      </c>
      <c r="G133" s="160">
        <v>6.5</v>
      </c>
      <c r="H133" s="160">
        <v>3.2</v>
      </c>
      <c r="I133" s="160">
        <v>3.5</v>
      </c>
      <c r="J133" s="161">
        <v>15500</v>
      </c>
      <c r="K133" s="159" t="str">
        <f t="shared" si="5"/>
        <v>A:3,90 x C:6,50 x L:3,20-3,50 x P:15.500kg</v>
      </c>
      <c r="N133" s="159" t="str">
        <f t="shared" si="4"/>
        <v>051169694</v>
      </c>
      <c r="O133" s="165">
        <v>51169694000126</v>
      </c>
      <c r="P133" s="159" t="s">
        <v>1105</v>
      </c>
      <c r="Q133" s="159" t="s">
        <v>1106</v>
      </c>
      <c r="R133" s="159" t="s">
        <v>1107</v>
      </c>
      <c r="S133" s="2" t="s">
        <v>965</v>
      </c>
    </row>
    <row r="134" spans="1:19" x14ac:dyDescent="0.3">
      <c r="A134" s="159">
        <v>6</v>
      </c>
      <c r="B134" s="159" t="s">
        <v>1100</v>
      </c>
      <c r="C134" s="159" t="s">
        <v>1101</v>
      </c>
      <c r="D134" s="159" t="s">
        <v>1108</v>
      </c>
      <c r="E134" s="159" t="s">
        <v>1108</v>
      </c>
      <c r="F134" s="160">
        <v>3.9</v>
      </c>
      <c r="G134" s="160">
        <v>6.6</v>
      </c>
      <c r="H134" s="160">
        <v>3.2</v>
      </c>
      <c r="I134" s="160">
        <v>3.7</v>
      </c>
      <c r="J134" s="161">
        <v>16000</v>
      </c>
      <c r="K134" s="159" t="str">
        <f t="shared" si="5"/>
        <v>A:3,90 x C:6,60 x L:3,20-3,70 x P:16.000kg</v>
      </c>
      <c r="N134" s="159" t="str">
        <f t="shared" si="4"/>
        <v>037439159</v>
      </c>
      <c r="O134" s="165">
        <v>37439159000117</v>
      </c>
      <c r="P134" s="159" t="s">
        <v>1109</v>
      </c>
      <c r="Q134" s="159" t="s">
        <v>1110</v>
      </c>
      <c r="R134" s="159" t="s">
        <v>606</v>
      </c>
      <c r="S134" s="2" t="s">
        <v>965</v>
      </c>
    </row>
    <row r="135" spans="1:19" x14ac:dyDescent="0.3">
      <c r="A135" s="159">
        <v>7</v>
      </c>
      <c r="B135" s="159" t="s">
        <v>5</v>
      </c>
      <c r="C135" s="159" t="s">
        <v>1111</v>
      </c>
      <c r="D135" s="159" t="s">
        <v>1112</v>
      </c>
      <c r="E135" s="159" t="s">
        <v>1112</v>
      </c>
      <c r="F135" s="160">
        <v>1</v>
      </c>
      <c r="G135" s="160">
        <v>9.6999999999999993</v>
      </c>
      <c r="H135" s="160">
        <v>2.5</v>
      </c>
      <c r="I135" s="160">
        <v>2.5</v>
      </c>
      <c r="J135" s="161">
        <v>500</v>
      </c>
      <c r="K135" s="159" t="str">
        <f t="shared" si="5"/>
        <v>A:1,00 x C:9,70 x L:2,50-2,50 x P:500kg</v>
      </c>
      <c r="N135" s="159" t="str">
        <f t="shared" si="4"/>
        <v>058643549</v>
      </c>
      <c r="O135" s="165">
        <v>58643549000184</v>
      </c>
      <c r="P135" s="159" t="s">
        <v>1113</v>
      </c>
      <c r="Q135" s="159" t="s">
        <v>1114</v>
      </c>
      <c r="R135" s="159" t="s">
        <v>599</v>
      </c>
      <c r="S135" s="2" t="s">
        <v>965</v>
      </c>
    </row>
    <row r="136" spans="1:19" x14ac:dyDescent="0.3">
      <c r="A136" s="159">
        <v>3</v>
      </c>
      <c r="B136" s="159" t="s">
        <v>8</v>
      </c>
      <c r="C136" s="159" t="s">
        <v>1003</v>
      </c>
      <c r="D136" s="159" t="s">
        <v>1115</v>
      </c>
      <c r="E136" s="159" t="s">
        <v>1115</v>
      </c>
      <c r="F136" s="160">
        <v>1.6</v>
      </c>
      <c r="G136" s="160">
        <v>7.6</v>
      </c>
      <c r="H136" s="160">
        <v>1.8</v>
      </c>
      <c r="I136" s="160">
        <v>1.8</v>
      </c>
      <c r="J136" s="161">
        <v>2100</v>
      </c>
      <c r="K136" s="159" t="str">
        <f t="shared" si="5"/>
        <v>A:1,60 x C:7,60 x L:1,80-1,80 x P:2.100kg</v>
      </c>
      <c r="N136" s="159" t="str">
        <f t="shared" si="4"/>
        <v>010680844</v>
      </c>
      <c r="O136" s="165">
        <v>10680844000184</v>
      </c>
      <c r="P136" s="159" t="s">
        <v>1116</v>
      </c>
      <c r="Q136" s="159" t="s">
        <v>1117</v>
      </c>
      <c r="R136" s="159" t="s">
        <v>599</v>
      </c>
      <c r="S136" s="2" t="s">
        <v>965</v>
      </c>
    </row>
    <row r="137" spans="1:19" x14ac:dyDescent="0.3">
      <c r="N137" s="159" t="str">
        <f t="shared" si="4"/>
        <v>034355001</v>
      </c>
      <c r="O137" s="165">
        <v>34355001000170</v>
      </c>
      <c r="P137" s="159" t="s">
        <v>1118</v>
      </c>
      <c r="Q137" s="159" t="s">
        <v>1119</v>
      </c>
      <c r="R137" s="159" t="s">
        <v>591</v>
      </c>
      <c r="S137" s="2" t="s">
        <v>965</v>
      </c>
    </row>
    <row r="138" spans="1:19" x14ac:dyDescent="0.3">
      <c r="N138" s="159" t="str">
        <f t="shared" si="4"/>
        <v>032878844</v>
      </c>
      <c r="O138" s="165">
        <v>32878844000126</v>
      </c>
      <c r="P138" s="159" t="s">
        <v>1120</v>
      </c>
      <c r="Q138" s="159" t="s">
        <v>395</v>
      </c>
      <c r="R138" s="159" t="s">
        <v>591</v>
      </c>
      <c r="S138" s="2" t="s">
        <v>965</v>
      </c>
    </row>
    <row r="139" spans="1:19" x14ac:dyDescent="0.3">
      <c r="N139" s="159" t="str">
        <f t="shared" si="4"/>
        <v>024586169</v>
      </c>
      <c r="O139" s="165">
        <v>24586169000133</v>
      </c>
      <c r="P139" s="159" t="s">
        <v>1121</v>
      </c>
      <c r="Q139" s="159" t="s">
        <v>1122</v>
      </c>
      <c r="R139" s="159" t="s">
        <v>566</v>
      </c>
      <c r="S139" s="2" t="s">
        <v>965</v>
      </c>
    </row>
    <row r="140" spans="1:19" x14ac:dyDescent="0.3">
      <c r="N140" s="159" t="str">
        <f t="shared" si="4"/>
        <v>058145329</v>
      </c>
      <c r="O140" s="165">
        <v>58145329000120</v>
      </c>
      <c r="P140" s="159" t="s">
        <v>1123</v>
      </c>
      <c r="Q140" s="159" t="s">
        <v>1124</v>
      </c>
      <c r="R140" s="159" t="s">
        <v>566</v>
      </c>
      <c r="S140" s="2" t="s">
        <v>965</v>
      </c>
    </row>
    <row r="141" spans="1:19" x14ac:dyDescent="0.3">
      <c r="N141" s="159" t="str">
        <f t="shared" si="4"/>
        <v>079973913</v>
      </c>
      <c r="O141" s="165">
        <v>79973913000144</v>
      </c>
      <c r="P141" s="159" t="s">
        <v>1125</v>
      </c>
      <c r="Q141" s="159" t="s">
        <v>1126</v>
      </c>
      <c r="R141" s="159" t="s">
        <v>794</v>
      </c>
      <c r="S141" s="2" t="s">
        <v>965</v>
      </c>
    </row>
    <row r="142" spans="1:19" x14ac:dyDescent="0.3">
      <c r="N142" s="159" t="str">
        <f t="shared" si="4"/>
        <v>006914002</v>
      </c>
      <c r="O142" s="165">
        <v>6914002000172</v>
      </c>
      <c r="P142" s="159" t="s">
        <v>1127</v>
      </c>
      <c r="Q142" s="159" t="s">
        <v>366</v>
      </c>
      <c r="R142" s="159" t="s">
        <v>575</v>
      </c>
      <c r="S142" s="2" t="s">
        <v>965</v>
      </c>
    </row>
    <row r="143" spans="1:19" x14ac:dyDescent="0.3">
      <c r="N143" s="159" t="str">
        <f t="shared" si="4"/>
        <v>003350624</v>
      </c>
      <c r="O143" s="165">
        <v>3350624000127</v>
      </c>
      <c r="P143" s="159" t="s">
        <v>1128</v>
      </c>
      <c r="Q143" s="159" t="s">
        <v>1129</v>
      </c>
      <c r="R143" s="159" t="s">
        <v>1130</v>
      </c>
      <c r="S143" s="2" t="s">
        <v>965</v>
      </c>
    </row>
    <row r="144" spans="1:19" x14ac:dyDescent="0.3">
      <c r="N144" s="159" t="str">
        <f t="shared" si="4"/>
        <v>027482459</v>
      </c>
      <c r="O144" s="165">
        <v>27482459000125</v>
      </c>
      <c r="P144" s="159" t="s">
        <v>1131</v>
      </c>
      <c r="Q144" s="159" t="s">
        <v>1132</v>
      </c>
      <c r="R144" s="159" t="s">
        <v>1133</v>
      </c>
      <c r="S144" s="2" t="s">
        <v>965</v>
      </c>
    </row>
    <row r="145" spans="14:19" x14ac:dyDescent="0.3">
      <c r="N145" s="159" t="str">
        <f t="shared" si="4"/>
        <v>044753925</v>
      </c>
      <c r="O145" s="165">
        <v>44753925000189</v>
      </c>
      <c r="P145" s="159" t="s">
        <v>1134</v>
      </c>
      <c r="Q145" s="159" t="s">
        <v>1135</v>
      </c>
      <c r="R145" s="159" t="s">
        <v>542</v>
      </c>
      <c r="S145" s="2" t="s">
        <v>965</v>
      </c>
    </row>
    <row r="146" spans="14:19" x14ac:dyDescent="0.3">
      <c r="N146" s="159" t="str">
        <f t="shared" si="4"/>
        <v>045988691</v>
      </c>
      <c r="O146" s="165">
        <v>45988691000111</v>
      </c>
      <c r="P146" s="159" t="s">
        <v>1136</v>
      </c>
      <c r="Q146" s="159" t="s">
        <v>1137</v>
      </c>
      <c r="R146" s="159" t="s">
        <v>606</v>
      </c>
      <c r="S146" s="2" t="s">
        <v>965</v>
      </c>
    </row>
    <row r="147" spans="14:19" x14ac:dyDescent="0.3">
      <c r="N147" s="159" t="str">
        <f t="shared" si="4"/>
        <v>032603119</v>
      </c>
      <c r="O147" s="165">
        <v>32603119000145</v>
      </c>
      <c r="P147" s="159" t="s">
        <v>1138</v>
      </c>
      <c r="Q147" s="159" t="s">
        <v>464</v>
      </c>
      <c r="R147" s="159" t="s">
        <v>1139</v>
      </c>
      <c r="S147" s="2" t="s">
        <v>965</v>
      </c>
    </row>
    <row r="148" spans="14:19" x14ac:dyDescent="0.3">
      <c r="N148" s="159" t="str">
        <f t="shared" si="4"/>
        <v>019442669</v>
      </c>
      <c r="O148" s="165">
        <v>19442669000161</v>
      </c>
      <c r="P148" s="159" t="s">
        <v>1140</v>
      </c>
      <c r="Q148" s="159" t="s">
        <v>1141</v>
      </c>
      <c r="R148" s="159" t="s">
        <v>599</v>
      </c>
      <c r="S148" s="2" t="s">
        <v>965</v>
      </c>
    </row>
    <row r="149" spans="14:19" x14ac:dyDescent="0.3">
      <c r="N149" s="159" t="str">
        <f t="shared" si="4"/>
        <v>084895598</v>
      </c>
      <c r="O149" s="165">
        <v>84895598000114</v>
      </c>
      <c r="P149" s="159" t="s">
        <v>1142</v>
      </c>
      <c r="Q149" s="159" t="s">
        <v>1143</v>
      </c>
      <c r="R149" s="159" t="s">
        <v>566</v>
      </c>
      <c r="S149" s="2" t="s">
        <v>965</v>
      </c>
    </row>
    <row r="150" spans="14:19" x14ac:dyDescent="0.3">
      <c r="N150" s="159" t="str">
        <f t="shared" si="4"/>
        <v>000495608</v>
      </c>
      <c r="O150" s="165">
        <v>495608000134</v>
      </c>
      <c r="P150" s="159" t="s">
        <v>1144</v>
      </c>
      <c r="Q150" s="159" t="s">
        <v>450</v>
      </c>
      <c r="R150" s="159" t="s">
        <v>599</v>
      </c>
      <c r="S150" s="2" t="s">
        <v>965</v>
      </c>
    </row>
    <row r="151" spans="14:19" x14ac:dyDescent="0.3">
      <c r="N151" s="159" t="str">
        <f t="shared" si="4"/>
        <v>020920599</v>
      </c>
      <c r="O151" s="165">
        <v>20920599000199</v>
      </c>
      <c r="P151" s="159" t="s">
        <v>1145</v>
      </c>
      <c r="Q151" s="159" t="s">
        <v>1146</v>
      </c>
      <c r="R151" s="159" t="s">
        <v>599</v>
      </c>
      <c r="S151" s="2" t="s">
        <v>1147</v>
      </c>
    </row>
    <row r="152" spans="14:19" x14ac:dyDescent="0.3">
      <c r="N152" s="159" t="str">
        <f t="shared" si="4"/>
        <v>055246903</v>
      </c>
      <c r="O152" s="165">
        <v>55246903000149</v>
      </c>
      <c r="P152" s="159" t="s">
        <v>1148</v>
      </c>
      <c r="Q152" s="159" t="s">
        <v>1149</v>
      </c>
      <c r="R152" s="159" t="s">
        <v>1150</v>
      </c>
      <c r="S152" s="2" t="s">
        <v>1151</v>
      </c>
    </row>
    <row r="153" spans="14:19" x14ac:dyDescent="0.3">
      <c r="N153" s="159" t="str">
        <f t="shared" si="4"/>
        <v>080645922</v>
      </c>
      <c r="O153" s="165">
        <v>80645922000276</v>
      </c>
      <c r="P153" s="159" t="s">
        <v>1152</v>
      </c>
      <c r="Q153" s="159" t="s">
        <v>1153</v>
      </c>
      <c r="R153" s="159" t="s">
        <v>767</v>
      </c>
      <c r="S153" s="2" t="s">
        <v>1151</v>
      </c>
    </row>
    <row r="154" spans="14:19" x14ac:dyDescent="0.3">
      <c r="N154" s="159" t="str">
        <f t="shared" si="4"/>
        <v>056953013</v>
      </c>
      <c r="O154" s="165">
        <v>56953013000130</v>
      </c>
      <c r="P154" s="159" t="s">
        <v>1154</v>
      </c>
      <c r="Q154" s="159" t="s">
        <v>60</v>
      </c>
      <c r="R154" s="159" t="s">
        <v>794</v>
      </c>
      <c r="S154" s="2" t="s">
        <v>1151</v>
      </c>
    </row>
    <row r="155" spans="14:19" x14ac:dyDescent="0.3">
      <c r="N155" s="159" t="str">
        <f t="shared" si="4"/>
        <v>056953013</v>
      </c>
      <c r="O155" s="165">
        <v>56953013000130</v>
      </c>
      <c r="P155" s="159" t="s">
        <v>1154</v>
      </c>
      <c r="Q155" s="159" t="s">
        <v>60</v>
      </c>
      <c r="R155" s="159" t="s">
        <v>794</v>
      </c>
      <c r="S155" s="2" t="s">
        <v>1151</v>
      </c>
    </row>
    <row r="156" spans="14:19" x14ac:dyDescent="0.3">
      <c r="N156" s="159" t="str">
        <f t="shared" si="4"/>
        <v>027525938</v>
      </c>
      <c r="O156" s="165">
        <v>27525938000181</v>
      </c>
      <c r="P156" s="159" t="s">
        <v>1155</v>
      </c>
      <c r="Q156" s="159" t="s">
        <v>63</v>
      </c>
      <c r="R156" s="159" t="s">
        <v>599</v>
      </c>
      <c r="S156" s="2" t="s">
        <v>1151</v>
      </c>
    </row>
    <row r="157" spans="14:19" x14ac:dyDescent="0.3">
      <c r="N157" s="159" t="str">
        <f t="shared" si="4"/>
        <v>059119304</v>
      </c>
      <c r="O157" s="165">
        <v>59119304000115</v>
      </c>
      <c r="P157" s="159" t="s">
        <v>1156</v>
      </c>
      <c r="Q157" s="159" t="s">
        <v>1157</v>
      </c>
      <c r="R157" s="159" t="s">
        <v>591</v>
      </c>
      <c r="S157" s="2" t="s">
        <v>1151</v>
      </c>
    </row>
    <row r="158" spans="14:19" x14ac:dyDescent="0.3">
      <c r="N158" s="159" t="str">
        <f t="shared" si="4"/>
        <v>058219628</v>
      </c>
      <c r="O158" s="165" t="s">
        <v>1158</v>
      </c>
      <c r="P158" s="159" t="s">
        <v>1159</v>
      </c>
      <c r="Q158" s="159" t="s">
        <v>1157</v>
      </c>
      <c r="R158" s="159" t="s">
        <v>1160</v>
      </c>
      <c r="S158" s="2" t="s">
        <v>1151</v>
      </c>
    </row>
    <row r="159" spans="14:19" x14ac:dyDescent="0.3">
      <c r="N159" s="159" t="str">
        <f t="shared" si="4"/>
        <v>028198228</v>
      </c>
      <c r="O159" s="165">
        <v>28198228000157</v>
      </c>
      <c r="P159" s="159" t="s">
        <v>1161</v>
      </c>
      <c r="Q159" s="159" t="s">
        <v>1162</v>
      </c>
      <c r="R159" s="159" t="s">
        <v>1163</v>
      </c>
      <c r="S159" s="155" t="s">
        <v>1151</v>
      </c>
    </row>
    <row r="160" spans="14:19" x14ac:dyDescent="0.3">
      <c r="N160" s="159" t="str">
        <f t="shared" si="4"/>
        <v>008880208</v>
      </c>
      <c r="O160" s="165">
        <v>8880208000154</v>
      </c>
      <c r="P160" s="159" t="s">
        <v>1164</v>
      </c>
      <c r="Q160" s="159" t="s">
        <v>1162</v>
      </c>
      <c r="R160" s="159" t="s">
        <v>1163</v>
      </c>
      <c r="S160" s="155" t="s">
        <v>1151</v>
      </c>
    </row>
    <row r="161" spans="14:19" x14ac:dyDescent="0.3">
      <c r="N161" s="159" t="str">
        <f t="shared" si="4"/>
        <v>053102168</v>
      </c>
      <c r="O161" s="165">
        <v>53102168000174</v>
      </c>
      <c r="P161" s="159" t="s">
        <v>1165</v>
      </c>
      <c r="Q161" s="159" t="s">
        <v>1166</v>
      </c>
      <c r="R161" s="159" t="s">
        <v>1167</v>
      </c>
      <c r="S161" s="2" t="s">
        <v>1151</v>
      </c>
    </row>
    <row r="162" spans="14:19" x14ac:dyDescent="0.3">
      <c r="N162" s="159" t="str">
        <f t="shared" si="4"/>
        <v>035912495</v>
      </c>
      <c r="O162" s="165">
        <v>35912495000452</v>
      </c>
      <c r="P162" s="159" t="s">
        <v>1168</v>
      </c>
      <c r="Q162" s="159" t="s">
        <v>1169</v>
      </c>
      <c r="R162" s="159" t="s">
        <v>1163</v>
      </c>
      <c r="S162" s="2" t="s">
        <v>1151</v>
      </c>
    </row>
    <row r="163" spans="14:19" x14ac:dyDescent="0.3">
      <c r="N163" s="159" t="str">
        <f t="shared" si="4"/>
        <v>044914992</v>
      </c>
      <c r="O163" s="165">
        <v>44914992002424</v>
      </c>
      <c r="P163" s="159" t="s">
        <v>1170</v>
      </c>
      <c r="Q163" s="159" t="s">
        <v>1169</v>
      </c>
      <c r="R163" s="159" t="s">
        <v>1171</v>
      </c>
      <c r="S163" s="2" t="s">
        <v>1151</v>
      </c>
    </row>
    <row r="164" spans="14:19" x14ac:dyDescent="0.3">
      <c r="N164" s="159" t="str">
        <f t="shared" si="4"/>
        <v>044914992</v>
      </c>
      <c r="O164" s="165">
        <v>44914992003315</v>
      </c>
      <c r="P164" s="159" t="s">
        <v>1172</v>
      </c>
      <c r="Q164" s="159" t="s">
        <v>1169</v>
      </c>
      <c r="R164" s="159" t="s">
        <v>1173</v>
      </c>
      <c r="S164" s="2" t="s">
        <v>1151</v>
      </c>
    </row>
    <row r="165" spans="14:19" x14ac:dyDescent="0.3">
      <c r="N165" s="159" t="str">
        <f t="shared" si="4"/>
        <v>044914992</v>
      </c>
      <c r="O165" s="165">
        <v>44914992003820</v>
      </c>
      <c r="P165" s="159" t="s">
        <v>1172</v>
      </c>
      <c r="Q165" s="159" t="s">
        <v>1169</v>
      </c>
      <c r="R165" s="159" t="s">
        <v>1163</v>
      </c>
      <c r="S165" s="2" t="s">
        <v>1151</v>
      </c>
    </row>
    <row r="166" spans="14:19" x14ac:dyDescent="0.3">
      <c r="N166" s="159" t="str">
        <f t="shared" si="4"/>
        <v>044914992</v>
      </c>
      <c r="O166" s="165">
        <v>44914992001886</v>
      </c>
      <c r="P166" s="159" t="s">
        <v>1174</v>
      </c>
      <c r="Q166" s="159" t="s">
        <v>1169</v>
      </c>
      <c r="R166" s="159" t="s">
        <v>1175</v>
      </c>
      <c r="S166" s="2" t="s">
        <v>1151</v>
      </c>
    </row>
    <row r="167" spans="14:19" x14ac:dyDescent="0.3">
      <c r="N167" s="159" t="str">
        <f t="shared" si="4"/>
        <v>044914992</v>
      </c>
      <c r="O167" s="165">
        <v>44914992003668</v>
      </c>
      <c r="P167" s="159" t="s">
        <v>1172</v>
      </c>
      <c r="Q167" s="159" t="s">
        <v>1169</v>
      </c>
      <c r="R167" s="159" t="s">
        <v>1176</v>
      </c>
      <c r="S167" s="2" t="s">
        <v>1151</v>
      </c>
    </row>
    <row r="168" spans="14:19" x14ac:dyDescent="0.3">
      <c r="N168" s="159" t="str">
        <f t="shared" si="4"/>
        <v>044914992</v>
      </c>
      <c r="O168" s="165">
        <v>44914992001703</v>
      </c>
      <c r="P168" s="159" t="s">
        <v>1177</v>
      </c>
      <c r="Q168" s="159" t="s">
        <v>1169</v>
      </c>
      <c r="R168" s="159" t="s">
        <v>659</v>
      </c>
      <c r="S168" s="2" t="s">
        <v>1151</v>
      </c>
    </row>
    <row r="169" spans="14:19" x14ac:dyDescent="0.3">
      <c r="N169" s="159" t="str">
        <f t="shared" si="4"/>
        <v>044914992</v>
      </c>
      <c r="O169" s="165">
        <v>44914992002181</v>
      </c>
      <c r="P169" s="159" t="s">
        <v>1178</v>
      </c>
      <c r="Q169" s="159" t="s">
        <v>1169</v>
      </c>
      <c r="R169" s="159" t="s">
        <v>1179</v>
      </c>
      <c r="S169" s="2" t="s">
        <v>1151</v>
      </c>
    </row>
    <row r="170" spans="14:19" x14ac:dyDescent="0.3">
      <c r="N170" s="159" t="str">
        <f t="shared" si="4"/>
        <v>044914992</v>
      </c>
      <c r="O170" s="165">
        <v>44914992002777</v>
      </c>
      <c r="P170" s="159" t="s">
        <v>1177</v>
      </c>
      <c r="Q170" s="159" t="s">
        <v>1169</v>
      </c>
      <c r="R170" s="159" t="s">
        <v>1180</v>
      </c>
      <c r="S170" s="2" t="s">
        <v>1151</v>
      </c>
    </row>
    <row r="171" spans="14:19" x14ac:dyDescent="0.3">
      <c r="N171" s="159" t="str">
        <f t="shared" si="4"/>
        <v>044914992</v>
      </c>
      <c r="O171" s="165">
        <v>44914992000138</v>
      </c>
      <c r="P171" s="159" t="s">
        <v>1181</v>
      </c>
      <c r="Q171" s="159" t="s">
        <v>1169</v>
      </c>
      <c r="R171" s="159" t="s">
        <v>1182</v>
      </c>
      <c r="S171" s="2" t="s">
        <v>1151</v>
      </c>
    </row>
    <row r="172" spans="14:19" x14ac:dyDescent="0.3">
      <c r="N172" s="159" t="str">
        <f t="shared" si="4"/>
        <v>044914992</v>
      </c>
      <c r="O172" s="165">
        <v>44914992001371</v>
      </c>
      <c r="P172" s="159" t="s">
        <v>1183</v>
      </c>
      <c r="Q172" s="159" t="s">
        <v>1169</v>
      </c>
      <c r="R172" s="159" t="s">
        <v>1076</v>
      </c>
      <c r="S172" s="2" t="s">
        <v>1151</v>
      </c>
    </row>
    <row r="173" spans="14:19" x14ac:dyDescent="0.3">
      <c r="N173" s="159" t="str">
        <f t="shared" si="4"/>
        <v>044914992</v>
      </c>
      <c r="O173" s="165">
        <v>44914992001290</v>
      </c>
      <c r="P173" s="159" t="s">
        <v>1184</v>
      </c>
      <c r="Q173" s="159" t="s">
        <v>1169</v>
      </c>
      <c r="R173" s="159" t="s">
        <v>1185</v>
      </c>
      <c r="S173" s="2" t="s">
        <v>1151</v>
      </c>
    </row>
    <row r="174" spans="14:19" x14ac:dyDescent="0.3">
      <c r="N174" s="159" t="str">
        <f t="shared" si="4"/>
        <v>002343801</v>
      </c>
      <c r="O174" s="165">
        <v>2343801000185</v>
      </c>
      <c r="P174" s="159" t="s">
        <v>1186</v>
      </c>
      <c r="Q174" s="159" t="s">
        <v>1187</v>
      </c>
      <c r="R174" s="159" t="s">
        <v>1188</v>
      </c>
      <c r="S174" s="2" t="s">
        <v>1151</v>
      </c>
    </row>
    <row r="175" spans="14:19" x14ac:dyDescent="0.3">
      <c r="N175" s="159" t="str">
        <f t="shared" si="4"/>
        <v>002343801</v>
      </c>
      <c r="O175" s="165">
        <v>2343801000690</v>
      </c>
      <c r="P175" s="159" t="s">
        <v>1186</v>
      </c>
      <c r="Q175" s="159" t="s">
        <v>1187</v>
      </c>
      <c r="R175" s="159" t="s">
        <v>599</v>
      </c>
      <c r="S175" s="2" t="s">
        <v>1151</v>
      </c>
    </row>
    <row r="176" spans="14:19" x14ac:dyDescent="0.3">
      <c r="N176" s="159" t="str">
        <f t="shared" si="4"/>
        <v>078706751</v>
      </c>
      <c r="O176" s="165">
        <v>78706751000700</v>
      </c>
      <c r="P176" s="159" t="s">
        <v>1189</v>
      </c>
      <c r="Q176" s="159" t="s">
        <v>1190</v>
      </c>
      <c r="R176" s="159" t="s">
        <v>1191</v>
      </c>
      <c r="S176" s="2" t="s">
        <v>1151</v>
      </c>
    </row>
    <row r="177" spans="14:19" x14ac:dyDescent="0.3">
      <c r="N177" s="159" t="str">
        <f t="shared" si="4"/>
        <v>078706751</v>
      </c>
      <c r="O177" s="165">
        <v>78706751001430</v>
      </c>
      <c r="P177" s="159" t="s">
        <v>1189</v>
      </c>
      <c r="Q177" s="159" t="s">
        <v>1190</v>
      </c>
      <c r="R177" s="159" t="s">
        <v>599</v>
      </c>
      <c r="S177" s="2" t="s">
        <v>1151</v>
      </c>
    </row>
    <row r="178" spans="14:19" x14ac:dyDescent="0.3">
      <c r="N178" s="159" t="str">
        <f t="shared" si="4"/>
        <v>078706751</v>
      </c>
      <c r="O178" s="165">
        <v>78706751000891</v>
      </c>
      <c r="P178" s="159" t="s">
        <v>1192</v>
      </c>
      <c r="Q178" s="159" t="s">
        <v>1190</v>
      </c>
      <c r="R178" s="159" t="s">
        <v>1150</v>
      </c>
      <c r="S178" s="2" t="s">
        <v>1151</v>
      </c>
    </row>
    <row r="179" spans="14:19" x14ac:dyDescent="0.3">
      <c r="N179" s="159" t="str">
        <f t="shared" si="4"/>
        <v>078706751</v>
      </c>
      <c r="O179" s="165">
        <v>78706751000115</v>
      </c>
      <c r="P179" s="159" t="s">
        <v>1193</v>
      </c>
      <c r="Q179" s="159" t="s">
        <v>1190</v>
      </c>
      <c r="R179" s="159" t="s">
        <v>1076</v>
      </c>
      <c r="S179" s="2" t="s">
        <v>1151</v>
      </c>
    </row>
    <row r="180" spans="14:19" x14ac:dyDescent="0.3">
      <c r="N180" s="159" t="str">
        <f t="shared" si="4"/>
        <v>078706751</v>
      </c>
      <c r="O180" s="165">
        <v>78706751000549</v>
      </c>
      <c r="P180" s="159" t="s">
        <v>1193</v>
      </c>
      <c r="Q180" s="159" t="s">
        <v>1190</v>
      </c>
      <c r="R180" s="159" t="s">
        <v>1076</v>
      </c>
      <c r="S180" s="2" t="s">
        <v>1151</v>
      </c>
    </row>
    <row r="181" spans="14:19" x14ac:dyDescent="0.3">
      <c r="N181" s="159" t="str">
        <f t="shared" si="4"/>
        <v>012154080</v>
      </c>
      <c r="O181" s="165">
        <v>12154080000119</v>
      </c>
      <c r="P181" s="159" t="s">
        <v>1194</v>
      </c>
      <c r="Q181" s="159" t="s">
        <v>67</v>
      </c>
      <c r="R181" s="159" t="s">
        <v>599</v>
      </c>
      <c r="S181" s="2" t="s">
        <v>1151</v>
      </c>
    </row>
    <row r="182" spans="14:19" x14ac:dyDescent="0.3">
      <c r="N182" s="159" t="str">
        <f t="shared" si="4"/>
        <v>000428307</v>
      </c>
      <c r="O182" s="165">
        <v>428307001917</v>
      </c>
      <c r="P182" s="159" t="s">
        <v>1195</v>
      </c>
      <c r="Q182" s="159" t="s">
        <v>1196</v>
      </c>
      <c r="R182" s="159" t="s">
        <v>1197</v>
      </c>
      <c r="S182" s="2" t="s">
        <v>1151</v>
      </c>
    </row>
    <row r="183" spans="14:19" x14ac:dyDescent="0.3">
      <c r="N183" s="159" t="str">
        <f t="shared" si="4"/>
        <v>000428307</v>
      </c>
      <c r="O183" s="165">
        <v>428307001240</v>
      </c>
      <c r="P183" s="159" t="s">
        <v>1198</v>
      </c>
      <c r="Q183" s="159" t="s">
        <v>1196</v>
      </c>
      <c r="R183" s="159" t="s">
        <v>1199</v>
      </c>
      <c r="S183" s="2" t="s">
        <v>1151</v>
      </c>
    </row>
    <row r="184" spans="14:19" x14ac:dyDescent="0.3">
      <c r="N184" s="159" t="str">
        <f t="shared" si="4"/>
        <v>000428307</v>
      </c>
      <c r="O184" s="165">
        <v>428307001321</v>
      </c>
      <c r="P184" s="159" t="s">
        <v>1198</v>
      </c>
      <c r="Q184" s="159" t="s">
        <v>1196</v>
      </c>
      <c r="R184" s="159" t="s">
        <v>1199</v>
      </c>
      <c r="S184" s="2" t="s">
        <v>1151</v>
      </c>
    </row>
    <row r="185" spans="14:19" x14ac:dyDescent="0.3">
      <c r="N185" s="159" t="str">
        <f t="shared" si="4"/>
        <v>000428307</v>
      </c>
      <c r="O185" s="165">
        <v>428307000279</v>
      </c>
      <c r="P185" s="159" t="s">
        <v>1198</v>
      </c>
      <c r="Q185" s="159" t="s">
        <v>1196</v>
      </c>
      <c r="R185" s="159" t="s">
        <v>1200</v>
      </c>
      <c r="S185" s="2" t="s">
        <v>1151</v>
      </c>
    </row>
    <row r="186" spans="14:19" x14ac:dyDescent="0.3">
      <c r="N186" s="159" t="str">
        <f t="shared" si="4"/>
        <v>000428307</v>
      </c>
      <c r="O186" s="165">
        <v>428307000864</v>
      </c>
      <c r="P186" s="159" t="s">
        <v>1195</v>
      </c>
      <c r="Q186" s="159" t="s">
        <v>1196</v>
      </c>
      <c r="R186" s="159" t="s">
        <v>1171</v>
      </c>
      <c r="S186" s="155" t="s">
        <v>1151</v>
      </c>
    </row>
    <row r="187" spans="14:19" x14ac:dyDescent="0.3">
      <c r="N187" s="159" t="str">
        <f t="shared" si="4"/>
        <v>000428307</v>
      </c>
      <c r="O187" s="165">
        <v>428307000600</v>
      </c>
      <c r="P187" s="159" t="s">
        <v>1195</v>
      </c>
      <c r="Q187" s="159" t="s">
        <v>1196</v>
      </c>
      <c r="R187" s="159" t="s">
        <v>1201</v>
      </c>
      <c r="S187" s="155" t="s">
        <v>1151</v>
      </c>
    </row>
    <row r="188" spans="14:19" x14ac:dyDescent="0.3">
      <c r="N188" s="159" t="str">
        <f t="shared" si="4"/>
        <v>000428307</v>
      </c>
      <c r="O188" s="165">
        <v>428307000198</v>
      </c>
      <c r="P188" s="159" t="s">
        <v>1195</v>
      </c>
      <c r="Q188" s="159" t="s">
        <v>1196</v>
      </c>
      <c r="R188" s="159" t="s">
        <v>1202</v>
      </c>
      <c r="S188" s="155" t="s">
        <v>1151</v>
      </c>
    </row>
    <row r="189" spans="14:19" x14ac:dyDescent="0.3">
      <c r="N189" s="159" t="str">
        <f t="shared" si="4"/>
        <v>000428307</v>
      </c>
      <c r="O189" s="165">
        <v>428307001674</v>
      </c>
      <c r="P189" s="159" t="s">
        <v>1195</v>
      </c>
      <c r="Q189" s="159" t="s">
        <v>1196</v>
      </c>
      <c r="R189" s="159" t="s">
        <v>1203</v>
      </c>
      <c r="S189" s="155" t="s">
        <v>1151</v>
      </c>
    </row>
    <row r="190" spans="14:19" x14ac:dyDescent="0.3">
      <c r="N190" s="159" t="str">
        <f t="shared" si="4"/>
        <v>000428307</v>
      </c>
      <c r="O190" s="165">
        <v>428307000350</v>
      </c>
      <c r="P190" s="159" t="s">
        <v>1195</v>
      </c>
      <c r="Q190" s="159" t="s">
        <v>1196</v>
      </c>
      <c r="R190" s="159" t="s">
        <v>1180</v>
      </c>
      <c r="S190" s="155" t="s">
        <v>1151</v>
      </c>
    </row>
    <row r="191" spans="14:19" x14ac:dyDescent="0.3">
      <c r="N191" s="159" t="str">
        <f t="shared" si="4"/>
        <v>000428307</v>
      </c>
      <c r="O191" s="165">
        <v>428307000430</v>
      </c>
      <c r="P191" s="159" t="s">
        <v>1195</v>
      </c>
      <c r="Q191" s="159" t="s">
        <v>1196</v>
      </c>
      <c r="R191" s="159" t="s">
        <v>1204</v>
      </c>
      <c r="S191" s="155" t="s">
        <v>1151</v>
      </c>
    </row>
    <row r="192" spans="14:19" x14ac:dyDescent="0.3">
      <c r="N192" s="159" t="str">
        <f t="shared" si="4"/>
        <v>000428307</v>
      </c>
      <c r="O192" s="165">
        <v>428307000783</v>
      </c>
      <c r="P192" s="159" t="s">
        <v>1195</v>
      </c>
      <c r="Q192" s="159" t="s">
        <v>1196</v>
      </c>
      <c r="R192" s="159" t="s">
        <v>1205</v>
      </c>
      <c r="S192" s="2" t="s">
        <v>1151</v>
      </c>
    </row>
    <row r="193" spans="14:19" x14ac:dyDescent="0.3">
      <c r="N193" s="159" t="str">
        <f t="shared" si="4"/>
        <v>000428307</v>
      </c>
      <c r="O193" s="165">
        <v>428307000511</v>
      </c>
      <c r="P193" s="159" t="s">
        <v>1195</v>
      </c>
      <c r="Q193" s="159" t="s">
        <v>1196</v>
      </c>
      <c r="R193" s="159" t="s">
        <v>1206</v>
      </c>
      <c r="S193" s="2" t="s">
        <v>1151</v>
      </c>
    </row>
    <row r="194" spans="14:19" x14ac:dyDescent="0.3">
      <c r="N194" s="159" t="str">
        <f t="shared" ref="N194:N207" si="6">"0"&amp;LEFT(TEXT(SUBSTITUTE(SUBSTITUTE(SUBSTITUTE(O194,".",""),"/",""),"-",""),"00000000000000"),8)</f>
        <v>000428307</v>
      </c>
      <c r="O194" s="165">
        <v>428307001160</v>
      </c>
      <c r="P194" s="159" t="s">
        <v>1207</v>
      </c>
      <c r="Q194" s="159" t="s">
        <v>1196</v>
      </c>
      <c r="R194" s="159" t="s">
        <v>1208</v>
      </c>
      <c r="S194" s="2" t="s">
        <v>1151</v>
      </c>
    </row>
    <row r="195" spans="14:19" x14ac:dyDescent="0.3">
      <c r="N195" s="159" t="str">
        <f t="shared" si="6"/>
        <v>000428307</v>
      </c>
      <c r="O195" s="165">
        <v>428307001089</v>
      </c>
      <c r="P195" s="159" t="s">
        <v>1209</v>
      </c>
      <c r="Q195" s="159" t="s">
        <v>1196</v>
      </c>
      <c r="R195" s="159" t="s">
        <v>1210</v>
      </c>
      <c r="S195" s="2" t="s">
        <v>1151</v>
      </c>
    </row>
    <row r="196" spans="14:19" x14ac:dyDescent="0.3">
      <c r="N196" s="159" t="str">
        <f t="shared" si="6"/>
        <v>000428307</v>
      </c>
      <c r="O196" s="165">
        <v>428307002301</v>
      </c>
      <c r="P196" s="159" t="s">
        <v>1207</v>
      </c>
      <c r="Q196" s="159" t="s">
        <v>1196</v>
      </c>
      <c r="R196" s="159" t="s">
        <v>794</v>
      </c>
      <c r="S196" s="2" t="s">
        <v>1151</v>
      </c>
    </row>
    <row r="197" spans="14:19" x14ac:dyDescent="0.3">
      <c r="N197" s="159" t="str">
        <f t="shared" si="6"/>
        <v>000428307</v>
      </c>
      <c r="O197" s="165">
        <v>428307002484</v>
      </c>
      <c r="P197" s="159" t="s">
        <v>1198</v>
      </c>
      <c r="Q197" s="159" t="s">
        <v>1196</v>
      </c>
      <c r="R197" s="159" t="s">
        <v>1202</v>
      </c>
      <c r="S197" s="2" t="s">
        <v>1151</v>
      </c>
    </row>
    <row r="198" spans="14:19" x14ac:dyDescent="0.3">
      <c r="N198" s="159" t="str">
        <f t="shared" si="6"/>
        <v>080227796</v>
      </c>
      <c r="O198" s="165">
        <v>80227796006785</v>
      </c>
      <c r="P198" s="159" t="s">
        <v>1211</v>
      </c>
      <c r="Q198" s="159" t="s">
        <v>65</v>
      </c>
      <c r="R198" s="159" t="s">
        <v>1212</v>
      </c>
      <c r="S198" s="2" t="s">
        <v>1151</v>
      </c>
    </row>
    <row r="199" spans="14:19" x14ac:dyDescent="0.3">
      <c r="N199" s="159" t="str">
        <f t="shared" si="6"/>
        <v>080227796</v>
      </c>
      <c r="O199" s="165">
        <v>80227796005894</v>
      </c>
      <c r="P199" s="159" t="s">
        <v>1213</v>
      </c>
      <c r="Q199" s="159" t="s">
        <v>65</v>
      </c>
      <c r="R199" s="159" t="s">
        <v>794</v>
      </c>
      <c r="S199" s="2" t="s">
        <v>1151</v>
      </c>
    </row>
    <row r="200" spans="14:19" x14ac:dyDescent="0.3">
      <c r="N200" s="159" t="str">
        <f t="shared" si="6"/>
        <v>080227796</v>
      </c>
      <c r="O200" s="165">
        <v>80227796006270</v>
      </c>
      <c r="P200" s="159" t="s">
        <v>1214</v>
      </c>
      <c r="Q200" s="159" t="s">
        <v>65</v>
      </c>
      <c r="R200" s="159" t="s">
        <v>1215</v>
      </c>
      <c r="S200" s="2" t="s">
        <v>1151</v>
      </c>
    </row>
    <row r="201" spans="14:19" x14ac:dyDescent="0.3">
      <c r="N201" s="159" t="str">
        <f t="shared" si="6"/>
        <v>080227796</v>
      </c>
      <c r="O201" s="165">
        <v>80227796000159</v>
      </c>
      <c r="P201" s="159" t="s">
        <v>1214</v>
      </c>
      <c r="Q201" s="159" t="s">
        <v>65</v>
      </c>
      <c r="R201" s="159" t="s">
        <v>599</v>
      </c>
      <c r="S201" s="2" t="s">
        <v>1151</v>
      </c>
    </row>
    <row r="202" spans="14:19" x14ac:dyDescent="0.3">
      <c r="N202" s="159" t="str">
        <f t="shared" si="6"/>
        <v>080227796</v>
      </c>
      <c r="O202" s="165">
        <v>80227796005118</v>
      </c>
      <c r="P202" s="159" t="s">
        <v>1214</v>
      </c>
      <c r="Q202" s="159" t="s">
        <v>65</v>
      </c>
      <c r="R202" s="159" t="s">
        <v>1216</v>
      </c>
      <c r="S202" s="2" t="s">
        <v>1151</v>
      </c>
    </row>
    <row r="203" spans="14:19" x14ac:dyDescent="0.3">
      <c r="N203" s="159" t="str">
        <f t="shared" si="6"/>
        <v>080227796</v>
      </c>
      <c r="O203" s="165">
        <v>80227796001473</v>
      </c>
      <c r="P203" s="159" t="s">
        <v>1214</v>
      </c>
      <c r="Q203" s="159" t="s">
        <v>65</v>
      </c>
      <c r="R203" s="159" t="s">
        <v>1076</v>
      </c>
      <c r="S203" s="2" t="s">
        <v>1151</v>
      </c>
    </row>
    <row r="204" spans="14:19" x14ac:dyDescent="0.3">
      <c r="N204" s="159" t="str">
        <f t="shared" si="6"/>
        <v>0</v>
      </c>
      <c r="O204" s="165"/>
      <c r="P204" s="159"/>
      <c r="Q204" s="159"/>
      <c r="R204" s="159"/>
    </row>
    <row r="205" spans="14:19" x14ac:dyDescent="0.3">
      <c r="N205" s="159" t="str">
        <f t="shared" si="6"/>
        <v>0</v>
      </c>
      <c r="O205" s="165"/>
      <c r="P205" s="159"/>
      <c r="Q205" s="159"/>
      <c r="R205" s="159"/>
    </row>
    <row r="206" spans="14:19" x14ac:dyDescent="0.3">
      <c r="N206" s="159" t="str">
        <f t="shared" si="6"/>
        <v>0</v>
      </c>
      <c r="O206" s="165"/>
      <c r="P206" s="159"/>
      <c r="Q206" s="159"/>
      <c r="R206" s="159"/>
    </row>
    <row r="207" spans="14:19" x14ac:dyDescent="0.3">
      <c r="N207" s="159" t="str">
        <f t="shared" si="6"/>
        <v>0</v>
      </c>
      <c r="O207" s="165"/>
      <c r="P207" s="159"/>
      <c r="Q207" s="159"/>
      <c r="R207" s="159"/>
    </row>
    <row r="208" spans="14:19" x14ac:dyDescent="0.25">
      <c r="S208" s="153"/>
    </row>
    <row r="209" spans="19:19" x14ac:dyDescent="0.25">
      <c r="S209" s="153"/>
    </row>
    <row r="210" spans="19:19" x14ac:dyDescent="0.25">
      <c r="S210" s="153"/>
    </row>
  </sheetData>
  <autoFilter ref="N1:S207" xr:uid="{47BC257A-4798-4D53-BA44-0BF931D1E497}">
    <sortState xmlns:xlrd2="http://schemas.microsoft.com/office/spreadsheetml/2017/richdata2" ref="N2:S207">
      <sortCondition ref="S1:S207"/>
    </sortState>
  </autoFilter>
  <mergeCells count="3">
    <mergeCell ref="T1:T20"/>
    <mergeCell ref="L1:L20"/>
    <mergeCell ref="V26:X2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E0A4-8407-43CF-949D-0872949814F6}">
  <dimension ref="A1:J139"/>
  <sheetViews>
    <sheetView showGridLines="0" workbookViewId="0">
      <selection activeCell="I21" sqref="I21"/>
    </sheetView>
  </sheetViews>
  <sheetFormatPr defaultRowHeight="14.4" x14ac:dyDescent="0.3"/>
  <cols>
    <col min="1" max="1" width="27.6640625" bestFit="1" customWidth="1"/>
    <col min="2" max="2" width="43" bestFit="1" customWidth="1"/>
    <col min="3" max="3" width="3.6640625" customWidth="1"/>
    <col min="4" max="4" width="2.33203125" bestFit="1" customWidth="1"/>
    <col min="5" max="5" width="22" bestFit="1" customWidth="1"/>
    <col min="6" max="6" width="24.109375" bestFit="1" customWidth="1"/>
    <col min="7" max="7" width="28.33203125" bestFit="1" customWidth="1"/>
    <col min="8" max="8" width="21.5546875" bestFit="1" customWidth="1"/>
    <col min="9" max="9" width="85.109375" bestFit="1" customWidth="1"/>
    <col min="10" max="10" width="68.5546875" bestFit="1" customWidth="1"/>
  </cols>
  <sheetData>
    <row r="1" spans="1:10" ht="15.6" x14ac:dyDescent="0.3">
      <c r="A1" s="187" t="s">
        <v>1217</v>
      </c>
      <c r="B1" s="187"/>
      <c r="E1" s="103" t="s">
        <v>1218</v>
      </c>
      <c r="F1" s="104" t="s">
        <v>1219</v>
      </c>
      <c r="G1" s="104" t="s">
        <v>1220</v>
      </c>
      <c r="H1" s="104" t="s">
        <v>35</v>
      </c>
      <c r="I1" s="104" t="s">
        <v>1221</v>
      </c>
      <c r="J1" s="104" t="s">
        <v>1222</v>
      </c>
    </row>
    <row r="2" spans="1:10" ht="15.6" x14ac:dyDescent="0.3">
      <c r="A2" s="89" t="s">
        <v>1223</v>
      </c>
      <c r="B2" s="89" t="s">
        <v>1224</v>
      </c>
      <c r="D2" s="1">
        <v>1</v>
      </c>
      <c r="E2" s="105" t="s">
        <v>1225</v>
      </c>
      <c r="F2" s="106" t="s">
        <v>1226</v>
      </c>
      <c r="G2" s="106" t="s">
        <v>1227</v>
      </c>
      <c r="H2" s="107">
        <v>45975</v>
      </c>
      <c r="I2" s="106" t="s">
        <v>1228</v>
      </c>
      <c r="J2" s="108" t="s">
        <v>253</v>
      </c>
    </row>
    <row r="3" spans="1:10" ht="15.6" x14ac:dyDescent="0.3">
      <c r="A3" s="89" t="s">
        <v>1229</v>
      </c>
      <c r="B3" s="89" t="s">
        <v>257</v>
      </c>
      <c r="D3" s="1">
        <v>2</v>
      </c>
      <c r="E3" s="109" t="s">
        <v>1225</v>
      </c>
      <c r="F3" s="109" t="s">
        <v>1230</v>
      </c>
      <c r="G3" s="109" t="s">
        <v>1231</v>
      </c>
      <c r="H3" s="76">
        <v>45978</v>
      </c>
      <c r="I3" s="77" t="s">
        <v>1232</v>
      </c>
      <c r="J3" s="110" t="s">
        <v>262</v>
      </c>
    </row>
    <row r="4" spans="1:10" ht="15.6" x14ac:dyDescent="0.3">
      <c r="A4" s="89" t="s">
        <v>1233</v>
      </c>
      <c r="B4" s="90">
        <v>1088000</v>
      </c>
      <c r="D4" s="1">
        <v>3</v>
      </c>
      <c r="E4" s="111" t="s">
        <v>1234</v>
      </c>
      <c r="F4" s="111" t="s">
        <v>1234</v>
      </c>
      <c r="G4" s="111" t="s">
        <v>1235</v>
      </c>
      <c r="H4" s="112" t="s">
        <v>1236</v>
      </c>
      <c r="I4" s="111" t="s">
        <v>1237</v>
      </c>
      <c r="J4" s="113" t="s">
        <v>336</v>
      </c>
    </row>
    <row r="5" spans="1:10" ht="15.6" x14ac:dyDescent="0.3">
      <c r="A5" s="88"/>
      <c r="B5" s="88"/>
      <c r="D5" s="1">
        <v>4</v>
      </c>
      <c r="E5" s="77" t="s">
        <v>1234</v>
      </c>
      <c r="F5" s="77" t="s">
        <v>1234</v>
      </c>
      <c r="G5" s="77" t="s">
        <v>1238</v>
      </c>
      <c r="H5" s="76">
        <v>45980</v>
      </c>
      <c r="I5" s="77" t="s">
        <v>1239</v>
      </c>
      <c r="J5" s="114" t="s">
        <v>323</v>
      </c>
    </row>
    <row r="6" spans="1:10" ht="15.6" x14ac:dyDescent="0.3">
      <c r="A6" s="89" t="s">
        <v>1223</v>
      </c>
      <c r="B6" s="89" t="s">
        <v>1240</v>
      </c>
      <c r="D6" s="1">
        <v>5</v>
      </c>
      <c r="E6" s="111" t="s">
        <v>1234</v>
      </c>
      <c r="F6" s="111" t="s">
        <v>1241</v>
      </c>
      <c r="G6" s="111" t="s">
        <v>1242</v>
      </c>
      <c r="H6" s="112" t="s">
        <v>1243</v>
      </c>
      <c r="I6" s="111" t="s">
        <v>1244</v>
      </c>
      <c r="J6" s="113" t="s">
        <v>1245</v>
      </c>
    </row>
    <row r="7" spans="1:10" ht="15.6" x14ac:dyDescent="0.3">
      <c r="A7" s="89" t="s">
        <v>1229</v>
      </c>
      <c r="B7" s="89" t="s">
        <v>256</v>
      </c>
      <c r="D7" s="1">
        <v>6</v>
      </c>
      <c r="E7" s="115" t="s">
        <v>1246</v>
      </c>
      <c r="F7" s="115" t="s">
        <v>1247</v>
      </c>
      <c r="G7" s="115" t="s">
        <v>1248</v>
      </c>
      <c r="H7" s="116">
        <v>45986</v>
      </c>
      <c r="I7" s="115" t="s">
        <v>1249</v>
      </c>
      <c r="J7" s="113" t="s">
        <v>328</v>
      </c>
    </row>
    <row r="8" spans="1:10" ht="15.6" x14ac:dyDescent="0.3">
      <c r="A8" s="89" t="s">
        <v>1233</v>
      </c>
      <c r="B8" s="90">
        <v>163000</v>
      </c>
      <c r="D8" s="1">
        <v>7</v>
      </c>
      <c r="E8" s="115" t="s">
        <v>1230</v>
      </c>
      <c r="F8" s="115" t="s">
        <v>1250</v>
      </c>
      <c r="G8" s="115" t="s">
        <v>1251</v>
      </c>
      <c r="H8" s="116">
        <v>45987</v>
      </c>
      <c r="I8" s="115" t="s">
        <v>1249</v>
      </c>
      <c r="J8" s="113" t="s">
        <v>332</v>
      </c>
    </row>
    <row r="9" spans="1:10" ht="15.6" x14ac:dyDescent="0.3">
      <c r="A9" s="88"/>
      <c r="B9" s="88"/>
      <c r="D9" s="1">
        <v>8</v>
      </c>
      <c r="E9" s="79" t="s">
        <v>1252</v>
      </c>
      <c r="F9" s="79" t="s">
        <v>1253</v>
      </c>
      <c r="G9" s="79" t="s">
        <v>1248</v>
      </c>
      <c r="H9" s="78">
        <v>45989</v>
      </c>
      <c r="I9" s="79" t="s">
        <v>1254</v>
      </c>
      <c r="J9" s="79"/>
    </row>
    <row r="10" spans="1:10" ht="15.6" x14ac:dyDescent="0.3">
      <c r="A10" s="89" t="s">
        <v>1223</v>
      </c>
      <c r="B10" s="89" t="s">
        <v>1255</v>
      </c>
      <c r="D10" s="1"/>
      <c r="E10" s="81" t="s">
        <v>1256</v>
      </c>
      <c r="F10" s="81" t="s">
        <v>1257</v>
      </c>
      <c r="G10" s="81" t="s">
        <v>1257</v>
      </c>
      <c r="H10" s="80" t="s">
        <v>1257</v>
      </c>
      <c r="I10" s="80" t="s">
        <v>1257</v>
      </c>
      <c r="J10" s="81"/>
    </row>
    <row r="11" spans="1:10" ht="15.6" x14ac:dyDescent="0.3">
      <c r="A11" s="89" t="s">
        <v>1229</v>
      </c>
      <c r="B11" s="89" t="s">
        <v>250</v>
      </c>
      <c r="D11" s="1"/>
      <c r="E11" s="79" t="s">
        <v>1252</v>
      </c>
      <c r="F11" s="79" t="s">
        <v>1257</v>
      </c>
      <c r="G11" s="79" t="s">
        <v>1257</v>
      </c>
      <c r="H11" s="78" t="s">
        <v>1257</v>
      </c>
      <c r="I11" s="78" t="s">
        <v>1257</v>
      </c>
      <c r="J11" s="79"/>
    </row>
    <row r="12" spans="1:10" ht="15.6" x14ac:dyDescent="0.3">
      <c r="A12" s="89" t="s">
        <v>1233</v>
      </c>
      <c r="B12" s="90">
        <v>262000</v>
      </c>
      <c r="D12" s="1"/>
      <c r="E12" s="117" t="s">
        <v>1256</v>
      </c>
      <c r="F12" s="81" t="s">
        <v>1257</v>
      </c>
      <c r="G12" s="81" t="s">
        <v>1257</v>
      </c>
      <c r="H12" s="80" t="s">
        <v>1257</v>
      </c>
      <c r="I12" s="81" t="s">
        <v>1254</v>
      </c>
      <c r="J12" s="81"/>
    </row>
    <row r="13" spans="1:10" ht="15.6" x14ac:dyDescent="0.3">
      <c r="A13" s="88"/>
      <c r="B13" s="88"/>
      <c r="E13" s="79" t="s">
        <v>1234</v>
      </c>
      <c r="F13" s="79" t="s">
        <v>1257</v>
      </c>
      <c r="G13" s="79" t="s">
        <v>1257</v>
      </c>
      <c r="H13" s="78" t="s">
        <v>1257</v>
      </c>
      <c r="I13" s="79" t="s">
        <v>1254</v>
      </c>
      <c r="J13" s="79"/>
    </row>
    <row r="14" spans="1:10" ht="15.6" x14ac:dyDescent="0.3">
      <c r="A14" s="89" t="s">
        <v>1223</v>
      </c>
      <c r="B14" s="89" t="s">
        <v>1255</v>
      </c>
    </row>
    <row r="15" spans="1:10" ht="15.6" x14ac:dyDescent="0.3">
      <c r="A15" s="89" t="s">
        <v>1229</v>
      </c>
      <c r="B15" s="89" t="s">
        <v>255</v>
      </c>
    </row>
    <row r="16" spans="1:10" ht="15.6" x14ac:dyDescent="0.3">
      <c r="A16" s="89" t="s">
        <v>1233</v>
      </c>
      <c r="B16" s="90">
        <v>191000</v>
      </c>
    </row>
    <row r="17" spans="1:8" ht="15.6" x14ac:dyDescent="0.3">
      <c r="A17" s="88"/>
      <c r="B17" s="88"/>
    </row>
    <row r="18" spans="1:8" ht="15.6" x14ac:dyDescent="0.3">
      <c r="A18" s="89" t="s">
        <v>1258</v>
      </c>
      <c r="B18" s="89" t="s">
        <v>47</v>
      </c>
      <c r="E18" s="118" t="s">
        <v>94</v>
      </c>
      <c r="F18" s="118" t="s">
        <v>78</v>
      </c>
      <c r="G18" s="119" t="s">
        <v>102</v>
      </c>
      <c r="H18" s="119" t="s">
        <v>1259</v>
      </c>
    </row>
    <row r="19" spans="1:8" ht="15.6" x14ac:dyDescent="0.3">
      <c r="A19" s="188" t="s">
        <v>1260</v>
      </c>
      <c r="B19" s="89" t="s">
        <v>1261</v>
      </c>
      <c r="E19" s="120" t="s">
        <v>250</v>
      </c>
      <c r="F19" s="73">
        <v>262000</v>
      </c>
      <c r="G19" s="75" t="s">
        <v>1262</v>
      </c>
      <c r="H19" s="75" t="s">
        <v>47</v>
      </c>
    </row>
    <row r="20" spans="1:8" ht="15.6" x14ac:dyDescent="0.3">
      <c r="A20" s="188"/>
      <c r="B20" s="87" t="s">
        <v>253</v>
      </c>
      <c r="E20" s="120" t="s">
        <v>255</v>
      </c>
      <c r="F20" s="73">
        <v>191000</v>
      </c>
      <c r="G20" s="75" t="s">
        <v>1263</v>
      </c>
      <c r="H20" s="75" t="s">
        <v>47</v>
      </c>
    </row>
    <row r="21" spans="1:8" ht="15.6" x14ac:dyDescent="0.3">
      <c r="A21" s="89" t="s">
        <v>1264</v>
      </c>
      <c r="B21" s="86" t="s">
        <v>1265</v>
      </c>
      <c r="E21" s="84" t="s">
        <v>259</v>
      </c>
      <c r="F21" s="121">
        <v>971000</v>
      </c>
      <c r="G21" s="122" t="s">
        <v>1266</v>
      </c>
      <c r="H21" s="122" t="s">
        <v>47</v>
      </c>
    </row>
    <row r="22" spans="1:8" ht="15.6" x14ac:dyDescent="0.3">
      <c r="A22" s="89" t="s">
        <v>1267</v>
      </c>
      <c r="B22" s="91">
        <v>45975</v>
      </c>
      <c r="E22" s="84" t="s">
        <v>267</v>
      </c>
      <c r="F22" s="121">
        <v>510000</v>
      </c>
      <c r="G22" s="122" t="s">
        <v>1266</v>
      </c>
      <c r="H22" s="122" t="s">
        <v>47</v>
      </c>
    </row>
    <row r="23" spans="1:8" ht="15.6" x14ac:dyDescent="0.3">
      <c r="A23" s="89" t="s">
        <v>1268</v>
      </c>
      <c r="B23" s="91">
        <v>45978</v>
      </c>
      <c r="E23" s="75" t="s">
        <v>1269</v>
      </c>
      <c r="F23" s="123">
        <v>160000</v>
      </c>
      <c r="G23" s="75" t="s">
        <v>1263</v>
      </c>
      <c r="H23" s="75" t="s">
        <v>1270</v>
      </c>
    </row>
    <row r="24" spans="1:8" ht="15.6" x14ac:dyDescent="0.3">
      <c r="A24" s="92"/>
      <c r="B24" s="92"/>
      <c r="E24" s="124" t="s">
        <v>321</v>
      </c>
      <c r="F24" s="125">
        <v>218000</v>
      </c>
      <c r="G24" s="124" t="s">
        <v>1262</v>
      </c>
      <c r="H24" s="75" t="s">
        <v>1270</v>
      </c>
    </row>
    <row r="25" spans="1:8" ht="15.6" x14ac:dyDescent="0.3">
      <c r="A25" s="187" t="s">
        <v>1271</v>
      </c>
      <c r="B25" s="187"/>
      <c r="E25" s="126" t="s">
        <v>331</v>
      </c>
      <c r="F25" s="83">
        <v>1090000</v>
      </c>
      <c r="G25" s="127" t="s">
        <v>1272</v>
      </c>
      <c r="H25" s="127" t="s">
        <v>48</v>
      </c>
    </row>
    <row r="26" spans="1:8" ht="15.6" x14ac:dyDescent="0.3">
      <c r="A26" s="89" t="s">
        <v>1223</v>
      </c>
      <c r="B26" s="89" t="s">
        <v>1255</v>
      </c>
      <c r="E26" s="128" t="s">
        <v>330</v>
      </c>
      <c r="F26" s="82">
        <v>163000</v>
      </c>
      <c r="G26" s="129" t="s">
        <v>1272</v>
      </c>
      <c r="H26" s="129" t="s">
        <v>48</v>
      </c>
    </row>
    <row r="27" spans="1:8" ht="15.6" x14ac:dyDescent="0.3">
      <c r="A27" s="89" t="s">
        <v>1229</v>
      </c>
      <c r="B27" s="89" t="s">
        <v>259</v>
      </c>
      <c r="E27" s="75" t="s">
        <v>320</v>
      </c>
      <c r="F27" s="123">
        <v>191000</v>
      </c>
      <c r="G27" s="75" t="s">
        <v>1263</v>
      </c>
      <c r="H27" s="75" t="s">
        <v>48</v>
      </c>
    </row>
    <row r="28" spans="1:8" ht="15.6" x14ac:dyDescent="0.3">
      <c r="A28" s="89" t="s">
        <v>1233</v>
      </c>
      <c r="B28" s="90">
        <v>970381.91</v>
      </c>
      <c r="E28" s="84" t="s">
        <v>325</v>
      </c>
      <c r="F28" s="121">
        <v>971000</v>
      </c>
      <c r="G28" s="122" t="s">
        <v>1273</v>
      </c>
      <c r="H28" s="122" t="s">
        <v>48</v>
      </c>
    </row>
    <row r="29" spans="1:8" ht="15.6" x14ac:dyDescent="0.3">
      <c r="A29" s="93"/>
      <c r="B29" s="93"/>
      <c r="E29" s="84" t="s">
        <v>299</v>
      </c>
      <c r="F29" s="121">
        <v>853000</v>
      </c>
      <c r="G29" s="122" t="s">
        <v>1273</v>
      </c>
      <c r="H29" s="122" t="s">
        <v>48</v>
      </c>
    </row>
    <row r="30" spans="1:8" ht="15.6" x14ac:dyDescent="0.3">
      <c r="A30" s="89" t="s">
        <v>1223</v>
      </c>
      <c r="B30" s="89" t="s">
        <v>1255</v>
      </c>
      <c r="E30" s="130" t="s">
        <v>1274</v>
      </c>
      <c r="F30" s="74" t="s">
        <v>1275</v>
      </c>
      <c r="G30" s="75"/>
      <c r="H30" s="75" t="s">
        <v>51</v>
      </c>
    </row>
    <row r="31" spans="1:8" ht="15.6" x14ac:dyDescent="0.3">
      <c r="A31" s="89" t="s">
        <v>1229</v>
      </c>
      <c r="B31" s="89" t="s">
        <v>267</v>
      </c>
      <c r="E31" s="131" t="s">
        <v>1276</v>
      </c>
      <c r="F31" s="85">
        <v>147000</v>
      </c>
      <c r="G31" s="129"/>
      <c r="H31" s="129" t="s">
        <v>51</v>
      </c>
    </row>
    <row r="32" spans="1:8" ht="15.6" x14ac:dyDescent="0.3">
      <c r="A32" s="89" t="s">
        <v>1233</v>
      </c>
      <c r="B32" s="90" t="s">
        <v>1277</v>
      </c>
      <c r="E32" s="132" t="s">
        <v>257</v>
      </c>
      <c r="F32" s="123">
        <v>1088000</v>
      </c>
      <c r="G32" s="75"/>
      <c r="H32" s="75" t="s">
        <v>49</v>
      </c>
    </row>
    <row r="33" spans="1:8" ht="15.6" x14ac:dyDescent="0.3">
      <c r="A33" s="93"/>
      <c r="B33" s="94"/>
      <c r="E33" s="132" t="s">
        <v>256</v>
      </c>
      <c r="F33" s="123">
        <v>163000</v>
      </c>
      <c r="G33" s="75"/>
      <c r="H33" s="75" t="s">
        <v>49</v>
      </c>
    </row>
    <row r="34" spans="1:8" ht="15.6" x14ac:dyDescent="0.3">
      <c r="A34" s="89" t="s">
        <v>1258</v>
      </c>
      <c r="B34" s="89" t="s">
        <v>47</v>
      </c>
    </row>
    <row r="35" spans="1:8" ht="15.6" x14ac:dyDescent="0.3">
      <c r="A35" s="188" t="s">
        <v>1260</v>
      </c>
      <c r="B35" s="89" t="s">
        <v>1278</v>
      </c>
    </row>
    <row r="36" spans="1:8" x14ac:dyDescent="0.3">
      <c r="A36" s="188"/>
      <c r="B36" s="87" t="s">
        <v>262</v>
      </c>
    </row>
    <row r="37" spans="1:8" ht="15.6" x14ac:dyDescent="0.3">
      <c r="A37" s="89" t="s">
        <v>1264</v>
      </c>
      <c r="B37" s="86" t="s">
        <v>1279</v>
      </c>
    </row>
    <row r="38" spans="1:8" ht="15.6" x14ac:dyDescent="0.3">
      <c r="A38" s="89" t="s">
        <v>1267</v>
      </c>
      <c r="B38" s="91">
        <v>45978</v>
      </c>
    </row>
    <row r="39" spans="1:8" ht="15.6" x14ac:dyDescent="0.3">
      <c r="A39" s="89" t="s">
        <v>1268</v>
      </c>
      <c r="B39" s="91">
        <v>45985</v>
      </c>
    </row>
    <row r="40" spans="1:8" ht="15.6" x14ac:dyDescent="0.3">
      <c r="A40" s="92"/>
      <c r="B40" s="92"/>
    </row>
    <row r="41" spans="1:8" ht="15.6" x14ac:dyDescent="0.3">
      <c r="A41" s="187" t="s">
        <v>1280</v>
      </c>
      <c r="B41" s="187"/>
    </row>
    <row r="42" spans="1:8" ht="15.6" x14ac:dyDescent="0.3">
      <c r="A42" s="89" t="s">
        <v>1223</v>
      </c>
      <c r="B42" s="89" t="s">
        <v>1224</v>
      </c>
    </row>
    <row r="43" spans="1:8" ht="15.6" x14ac:dyDescent="0.3">
      <c r="A43" s="89" t="s">
        <v>1229</v>
      </c>
      <c r="B43" s="89" t="s">
        <v>1281</v>
      </c>
    </row>
    <row r="44" spans="1:8" ht="15.6" x14ac:dyDescent="0.3">
      <c r="A44" s="89" t="s">
        <v>1233</v>
      </c>
      <c r="B44" s="83">
        <v>1090000</v>
      </c>
    </row>
    <row r="45" spans="1:8" ht="15.6" x14ac:dyDescent="0.3">
      <c r="A45" s="93"/>
      <c r="B45" s="88"/>
    </row>
    <row r="46" spans="1:8" ht="15.6" x14ac:dyDescent="0.3">
      <c r="A46" s="95" t="s">
        <v>1223</v>
      </c>
      <c r="B46" s="89" t="s">
        <v>1240</v>
      </c>
    </row>
    <row r="47" spans="1:8" ht="15.6" x14ac:dyDescent="0.3">
      <c r="A47" s="95" t="s">
        <v>1229</v>
      </c>
      <c r="B47" s="89" t="s">
        <v>330</v>
      </c>
    </row>
    <row r="48" spans="1:8" ht="15.6" x14ac:dyDescent="0.3">
      <c r="A48" s="95" t="s">
        <v>1233</v>
      </c>
      <c r="B48" s="73">
        <v>163000</v>
      </c>
    </row>
    <row r="49" spans="1:2" ht="15.6" x14ac:dyDescent="0.3">
      <c r="A49" s="93"/>
      <c r="B49" s="94"/>
    </row>
    <row r="50" spans="1:2" ht="15.6" x14ac:dyDescent="0.3">
      <c r="A50" s="89" t="s">
        <v>1258</v>
      </c>
      <c r="B50" s="89" t="s">
        <v>142</v>
      </c>
    </row>
    <row r="51" spans="1:2" ht="15.6" x14ac:dyDescent="0.3">
      <c r="A51" s="188" t="s">
        <v>1260</v>
      </c>
      <c r="B51" s="89" t="s">
        <v>1282</v>
      </c>
    </row>
    <row r="52" spans="1:2" x14ac:dyDescent="0.3">
      <c r="A52" s="188"/>
      <c r="B52" s="87" t="s">
        <v>336</v>
      </c>
    </row>
    <row r="53" spans="1:2" ht="15.6" x14ac:dyDescent="0.3">
      <c r="A53" s="89" t="s">
        <v>1264</v>
      </c>
      <c r="B53" s="86" t="s">
        <v>1283</v>
      </c>
    </row>
    <row r="54" spans="1:2" ht="15.6" x14ac:dyDescent="0.3">
      <c r="A54" s="89" t="s">
        <v>1267</v>
      </c>
      <c r="B54" s="91">
        <v>45978</v>
      </c>
    </row>
    <row r="55" spans="1:2" ht="15.6" x14ac:dyDescent="0.3">
      <c r="A55" s="89" t="s">
        <v>1268</v>
      </c>
      <c r="B55" s="91">
        <v>45981</v>
      </c>
    </row>
    <row r="56" spans="1:2" ht="15.6" x14ac:dyDescent="0.3">
      <c r="A56" s="92"/>
      <c r="B56" s="92"/>
    </row>
    <row r="57" spans="1:2" ht="15.6" x14ac:dyDescent="0.3">
      <c r="A57" s="187" t="s">
        <v>1284</v>
      </c>
      <c r="B57" s="187"/>
    </row>
    <row r="58" spans="1:2" ht="15.6" x14ac:dyDescent="0.3">
      <c r="A58" s="89" t="s">
        <v>1223</v>
      </c>
      <c r="B58" s="89" t="s">
        <v>1255</v>
      </c>
    </row>
    <row r="59" spans="1:2" ht="15.6" x14ac:dyDescent="0.3">
      <c r="A59" s="89" t="s">
        <v>1229</v>
      </c>
      <c r="B59" s="89" t="s">
        <v>325</v>
      </c>
    </row>
    <row r="60" spans="1:2" ht="15.6" x14ac:dyDescent="0.3">
      <c r="A60" s="89" t="s">
        <v>1233</v>
      </c>
      <c r="B60" s="90">
        <v>971000</v>
      </c>
    </row>
    <row r="61" spans="1:2" ht="15.6" x14ac:dyDescent="0.3">
      <c r="A61" s="93"/>
      <c r="B61" s="93"/>
    </row>
    <row r="62" spans="1:2" ht="15.6" x14ac:dyDescent="0.3">
      <c r="A62" s="89" t="s">
        <v>1223</v>
      </c>
      <c r="B62" s="89" t="s">
        <v>1255</v>
      </c>
    </row>
    <row r="63" spans="1:2" ht="15.6" x14ac:dyDescent="0.3">
      <c r="A63" s="89" t="s">
        <v>1229</v>
      </c>
      <c r="B63" s="89" t="s">
        <v>299</v>
      </c>
    </row>
    <row r="64" spans="1:2" ht="15.6" x14ac:dyDescent="0.3">
      <c r="A64" s="89" t="s">
        <v>1233</v>
      </c>
      <c r="B64" s="90">
        <v>853000</v>
      </c>
    </row>
    <row r="65" spans="1:2" ht="15.6" x14ac:dyDescent="0.3">
      <c r="A65" s="93"/>
      <c r="B65" s="94"/>
    </row>
    <row r="66" spans="1:2" ht="15.6" x14ac:dyDescent="0.3">
      <c r="A66" s="89" t="s">
        <v>1258</v>
      </c>
      <c r="B66" s="89" t="s">
        <v>142</v>
      </c>
    </row>
    <row r="67" spans="1:2" ht="15.6" x14ac:dyDescent="0.3">
      <c r="A67" s="188" t="s">
        <v>1260</v>
      </c>
      <c r="B67" s="89" t="s">
        <v>1285</v>
      </c>
    </row>
    <row r="68" spans="1:2" x14ac:dyDescent="0.3">
      <c r="A68" s="188"/>
      <c r="B68" s="96" t="s">
        <v>323</v>
      </c>
    </row>
    <row r="69" spans="1:2" ht="15.6" x14ac:dyDescent="0.3">
      <c r="A69" s="89" t="s">
        <v>1264</v>
      </c>
      <c r="B69" s="86" t="s">
        <v>1286</v>
      </c>
    </row>
    <row r="70" spans="1:2" ht="15.6" x14ac:dyDescent="0.3">
      <c r="A70" s="89" t="s">
        <v>1267</v>
      </c>
      <c r="B70" s="91">
        <v>45980</v>
      </c>
    </row>
    <row r="71" spans="1:2" ht="15.6" x14ac:dyDescent="0.3">
      <c r="A71" s="89" t="s">
        <v>1268</v>
      </c>
      <c r="B71" s="91">
        <v>45985</v>
      </c>
    </row>
    <row r="72" spans="1:2" ht="15.6" x14ac:dyDescent="0.3">
      <c r="A72" s="92"/>
      <c r="B72" s="92"/>
    </row>
    <row r="73" spans="1:2" ht="15.6" x14ac:dyDescent="0.3">
      <c r="A73" s="187" t="s">
        <v>1287</v>
      </c>
      <c r="B73" s="187"/>
    </row>
    <row r="74" spans="1:2" ht="15.6" x14ac:dyDescent="0.3">
      <c r="A74" s="89" t="s">
        <v>1223</v>
      </c>
      <c r="B74" s="89" t="s">
        <v>1255</v>
      </c>
    </row>
    <row r="75" spans="1:2" ht="15.6" x14ac:dyDescent="0.3">
      <c r="A75" s="89" t="s">
        <v>1229</v>
      </c>
      <c r="B75" s="89" t="s">
        <v>321</v>
      </c>
    </row>
    <row r="76" spans="1:2" ht="15.6" x14ac:dyDescent="0.3">
      <c r="A76" s="89" t="s">
        <v>1233</v>
      </c>
      <c r="B76" s="90">
        <v>218000</v>
      </c>
    </row>
    <row r="77" spans="1:2" ht="15.6" x14ac:dyDescent="0.3">
      <c r="A77" s="88"/>
      <c r="B77" s="88"/>
    </row>
    <row r="78" spans="1:2" ht="15.6" x14ac:dyDescent="0.3">
      <c r="A78" s="89" t="s">
        <v>1223</v>
      </c>
      <c r="B78" s="89" t="s">
        <v>1255</v>
      </c>
    </row>
    <row r="79" spans="1:2" ht="15.6" x14ac:dyDescent="0.3">
      <c r="A79" s="89" t="s">
        <v>1229</v>
      </c>
      <c r="B79" s="89" t="s">
        <v>320</v>
      </c>
    </row>
    <row r="80" spans="1:2" ht="15.6" x14ac:dyDescent="0.3">
      <c r="A80" s="89" t="s">
        <v>1233</v>
      </c>
      <c r="B80" s="90">
        <v>191000</v>
      </c>
    </row>
    <row r="81" spans="1:2" ht="15.6" x14ac:dyDescent="0.3">
      <c r="A81" s="93"/>
      <c r="B81" s="93"/>
    </row>
    <row r="82" spans="1:2" ht="15.6" x14ac:dyDescent="0.3">
      <c r="A82" s="89" t="s">
        <v>1223</v>
      </c>
      <c r="B82" s="89" t="s">
        <v>1255</v>
      </c>
    </row>
    <row r="83" spans="1:2" ht="15.6" x14ac:dyDescent="0.3">
      <c r="A83" s="89" t="s">
        <v>1229</v>
      </c>
      <c r="B83" s="89" t="s">
        <v>1269</v>
      </c>
    </row>
    <row r="84" spans="1:2" ht="15.6" x14ac:dyDescent="0.3">
      <c r="A84" s="89" t="s">
        <v>1233</v>
      </c>
      <c r="B84" s="90">
        <v>160000</v>
      </c>
    </row>
    <row r="85" spans="1:2" ht="15.6" x14ac:dyDescent="0.3">
      <c r="A85" s="93"/>
      <c r="B85" s="94"/>
    </row>
    <row r="86" spans="1:2" ht="15.6" x14ac:dyDescent="0.3">
      <c r="A86" s="89" t="s">
        <v>1258</v>
      </c>
      <c r="B86" s="89" t="s">
        <v>142</v>
      </c>
    </row>
    <row r="87" spans="1:2" ht="15.6" x14ac:dyDescent="0.3">
      <c r="A87" s="188" t="s">
        <v>1260</v>
      </c>
      <c r="B87" s="89" t="s">
        <v>1288</v>
      </c>
    </row>
    <row r="88" spans="1:2" x14ac:dyDescent="0.3">
      <c r="A88" s="188"/>
      <c r="B88" s="96" t="s">
        <v>318</v>
      </c>
    </row>
    <row r="89" spans="1:2" ht="15.6" x14ac:dyDescent="0.3">
      <c r="A89" s="89" t="s">
        <v>1264</v>
      </c>
      <c r="B89" s="86" t="s">
        <v>1289</v>
      </c>
    </row>
    <row r="90" spans="1:2" ht="15.6" x14ac:dyDescent="0.3">
      <c r="A90" s="89" t="s">
        <v>1267</v>
      </c>
      <c r="B90" s="91">
        <v>45985</v>
      </c>
    </row>
    <row r="91" spans="1:2" ht="15.6" x14ac:dyDescent="0.3">
      <c r="A91" s="89" t="s">
        <v>1268</v>
      </c>
      <c r="B91" s="91">
        <v>45987</v>
      </c>
    </row>
    <row r="92" spans="1:2" ht="15.6" x14ac:dyDescent="0.3">
      <c r="A92" s="92"/>
      <c r="B92" s="92"/>
    </row>
    <row r="93" spans="1:2" ht="15.6" x14ac:dyDescent="0.3">
      <c r="A93" s="187" t="s">
        <v>1290</v>
      </c>
      <c r="B93" s="187"/>
    </row>
    <row r="94" spans="1:2" ht="15.6" x14ac:dyDescent="0.3">
      <c r="A94" s="89" t="s">
        <v>1223</v>
      </c>
      <c r="B94" s="89" t="s">
        <v>1224</v>
      </c>
    </row>
    <row r="95" spans="1:2" ht="15.6" x14ac:dyDescent="0.3">
      <c r="A95" s="89" t="s">
        <v>1229</v>
      </c>
      <c r="B95" s="89" t="s">
        <v>331</v>
      </c>
    </row>
    <row r="96" spans="1:2" ht="15.6" x14ac:dyDescent="0.3">
      <c r="A96" s="89" t="s">
        <v>1233</v>
      </c>
      <c r="B96" s="90">
        <v>1090000</v>
      </c>
    </row>
    <row r="97" spans="1:2" ht="15.6" x14ac:dyDescent="0.3">
      <c r="A97" s="88"/>
      <c r="B97" s="88"/>
    </row>
    <row r="98" spans="1:2" ht="15.6" x14ac:dyDescent="0.3">
      <c r="A98" s="89" t="s">
        <v>1223</v>
      </c>
      <c r="B98" s="89" t="s">
        <v>1240</v>
      </c>
    </row>
    <row r="99" spans="1:2" ht="15.6" x14ac:dyDescent="0.3">
      <c r="A99" s="89" t="s">
        <v>1229</v>
      </c>
      <c r="B99" s="89" t="s">
        <v>330</v>
      </c>
    </row>
    <row r="100" spans="1:2" ht="15.6" x14ac:dyDescent="0.3">
      <c r="A100" s="89" t="s">
        <v>1233</v>
      </c>
      <c r="B100" s="90">
        <v>163000</v>
      </c>
    </row>
    <row r="101" spans="1:2" ht="15.6" x14ac:dyDescent="0.3">
      <c r="A101" s="88"/>
      <c r="B101" s="88"/>
    </row>
    <row r="102" spans="1:2" ht="15.6" x14ac:dyDescent="0.3">
      <c r="A102" s="89" t="s">
        <v>1223</v>
      </c>
      <c r="B102" s="89" t="s">
        <v>1255</v>
      </c>
    </row>
    <row r="103" spans="1:2" ht="15.6" x14ac:dyDescent="0.3">
      <c r="A103" s="89" t="s">
        <v>1229</v>
      </c>
      <c r="B103" s="89" t="s">
        <v>250</v>
      </c>
    </row>
    <row r="104" spans="1:2" ht="15.6" x14ac:dyDescent="0.3">
      <c r="A104" s="89" t="s">
        <v>1233</v>
      </c>
      <c r="B104" s="90">
        <v>262000</v>
      </c>
    </row>
    <row r="105" spans="1:2" ht="15.6" x14ac:dyDescent="0.3">
      <c r="A105" s="88"/>
      <c r="B105" s="88"/>
    </row>
    <row r="106" spans="1:2" ht="15.6" x14ac:dyDescent="0.3">
      <c r="A106" s="89" t="s">
        <v>1223</v>
      </c>
      <c r="B106" s="89" t="s">
        <v>1255</v>
      </c>
    </row>
    <row r="107" spans="1:2" ht="15.6" x14ac:dyDescent="0.3">
      <c r="A107" s="89" t="s">
        <v>1229</v>
      </c>
      <c r="B107" s="89" t="s">
        <v>255</v>
      </c>
    </row>
    <row r="108" spans="1:2" ht="15.6" x14ac:dyDescent="0.3">
      <c r="A108" s="89" t="s">
        <v>1233</v>
      </c>
      <c r="B108" s="90">
        <v>191000</v>
      </c>
    </row>
    <row r="109" spans="1:2" ht="15.6" x14ac:dyDescent="0.3">
      <c r="A109" s="88"/>
      <c r="B109" s="88"/>
    </row>
    <row r="110" spans="1:2" ht="15.6" x14ac:dyDescent="0.3">
      <c r="A110" s="89" t="s">
        <v>1258</v>
      </c>
      <c r="B110" s="89" t="s">
        <v>142</v>
      </c>
    </row>
    <row r="111" spans="1:2" x14ac:dyDescent="0.3">
      <c r="A111" s="188" t="s">
        <v>1260</v>
      </c>
      <c r="B111" s="86" t="s">
        <v>1291</v>
      </c>
    </row>
    <row r="112" spans="1:2" x14ac:dyDescent="0.3">
      <c r="A112" s="188"/>
      <c r="B112" s="96" t="s">
        <v>1292</v>
      </c>
    </row>
    <row r="113" spans="1:2" ht="15.6" x14ac:dyDescent="0.3">
      <c r="A113" s="89" t="s">
        <v>1264</v>
      </c>
      <c r="B113" s="89" t="s">
        <v>329</v>
      </c>
    </row>
    <row r="114" spans="1:2" ht="15.6" x14ac:dyDescent="0.3">
      <c r="A114" s="89" t="s">
        <v>1267</v>
      </c>
      <c r="B114" s="91">
        <v>45985</v>
      </c>
    </row>
    <row r="115" spans="1:2" ht="15.6" x14ac:dyDescent="0.3">
      <c r="A115" s="89" t="s">
        <v>1268</v>
      </c>
      <c r="B115" s="91">
        <v>45986</v>
      </c>
    </row>
    <row r="116" spans="1:2" ht="15.6" x14ac:dyDescent="0.3">
      <c r="A116" s="92"/>
      <c r="B116" s="92"/>
    </row>
    <row r="117" spans="1:2" ht="15.6" x14ac:dyDescent="0.3">
      <c r="A117" s="187" t="s">
        <v>1293</v>
      </c>
      <c r="B117" s="187"/>
    </row>
    <row r="118" spans="1:2" ht="15.6" x14ac:dyDescent="0.3">
      <c r="A118" s="89" t="s">
        <v>1223</v>
      </c>
      <c r="B118" s="89" t="s">
        <v>1224</v>
      </c>
    </row>
    <row r="119" spans="1:2" ht="15.6" x14ac:dyDescent="0.3">
      <c r="A119" s="89" t="s">
        <v>1229</v>
      </c>
      <c r="B119" s="89" t="s">
        <v>331</v>
      </c>
    </row>
    <row r="120" spans="1:2" ht="15.6" x14ac:dyDescent="0.3">
      <c r="A120" s="89" t="s">
        <v>1233</v>
      </c>
      <c r="B120" s="90">
        <v>1090000</v>
      </c>
    </row>
    <row r="121" spans="1:2" ht="15.6" x14ac:dyDescent="0.3">
      <c r="A121" s="88"/>
      <c r="B121" s="88"/>
    </row>
    <row r="122" spans="1:2" ht="15.6" x14ac:dyDescent="0.3">
      <c r="A122" s="89" t="s">
        <v>1223</v>
      </c>
      <c r="B122" s="89" t="s">
        <v>1240</v>
      </c>
    </row>
    <row r="123" spans="1:2" ht="15.6" x14ac:dyDescent="0.3">
      <c r="A123" s="89" t="s">
        <v>1229</v>
      </c>
      <c r="B123" s="89" t="s">
        <v>330</v>
      </c>
    </row>
    <row r="124" spans="1:2" ht="15.6" x14ac:dyDescent="0.3">
      <c r="A124" s="89" t="s">
        <v>1233</v>
      </c>
      <c r="B124" s="90">
        <v>163000</v>
      </c>
    </row>
    <row r="125" spans="1:2" ht="15.6" x14ac:dyDescent="0.3">
      <c r="A125" s="88"/>
      <c r="B125" s="88"/>
    </row>
    <row r="126" spans="1:2" ht="15.6" x14ac:dyDescent="0.3">
      <c r="A126" s="89" t="s">
        <v>1223</v>
      </c>
      <c r="B126" s="89" t="s">
        <v>1255</v>
      </c>
    </row>
    <row r="127" spans="1:2" ht="15.6" x14ac:dyDescent="0.3">
      <c r="A127" s="89" t="s">
        <v>1229</v>
      </c>
      <c r="B127" s="89" t="s">
        <v>250</v>
      </c>
    </row>
    <row r="128" spans="1:2" ht="15.6" x14ac:dyDescent="0.3">
      <c r="A128" s="89" t="s">
        <v>1233</v>
      </c>
      <c r="B128" s="90">
        <v>262000</v>
      </c>
    </row>
    <row r="129" spans="1:2" ht="15.6" x14ac:dyDescent="0.3">
      <c r="A129" s="88"/>
      <c r="B129" s="88"/>
    </row>
    <row r="130" spans="1:2" ht="15.6" x14ac:dyDescent="0.3">
      <c r="A130" s="89" t="s">
        <v>1223</v>
      </c>
      <c r="B130" s="89" t="s">
        <v>1255</v>
      </c>
    </row>
    <row r="131" spans="1:2" ht="15.6" x14ac:dyDescent="0.3">
      <c r="A131" s="89" t="s">
        <v>1229</v>
      </c>
      <c r="B131" s="89" t="s">
        <v>255</v>
      </c>
    </row>
    <row r="132" spans="1:2" ht="15.6" x14ac:dyDescent="0.3">
      <c r="A132" s="89" t="s">
        <v>1233</v>
      </c>
      <c r="B132" s="90">
        <v>191000</v>
      </c>
    </row>
    <row r="133" spans="1:2" ht="15.6" x14ac:dyDescent="0.3">
      <c r="A133" s="88"/>
      <c r="B133" s="88"/>
    </row>
    <row r="134" spans="1:2" ht="15.6" x14ac:dyDescent="0.3">
      <c r="A134" s="89" t="s">
        <v>1258</v>
      </c>
      <c r="B134" s="89" t="s">
        <v>142</v>
      </c>
    </row>
    <row r="135" spans="1:2" x14ac:dyDescent="0.3">
      <c r="A135" s="188" t="s">
        <v>1260</v>
      </c>
      <c r="B135" s="86" t="s">
        <v>1294</v>
      </c>
    </row>
    <row r="136" spans="1:2" x14ac:dyDescent="0.3">
      <c r="A136" s="188"/>
      <c r="B136" s="87" t="s">
        <v>332</v>
      </c>
    </row>
    <row r="137" spans="1:2" ht="15.6" x14ac:dyDescent="0.3">
      <c r="A137" s="89" t="s">
        <v>1264</v>
      </c>
      <c r="B137" s="89" t="s">
        <v>1295</v>
      </c>
    </row>
    <row r="138" spans="1:2" ht="15.6" x14ac:dyDescent="0.3">
      <c r="A138" s="89" t="s">
        <v>1267</v>
      </c>
      <c r="B138" s="91">
        <v>45987</v>
      </c>
    </row>
    <row r="139" spans="1:2" ht="15.6" x14ac:dyDescent="0.3">
      <c r="A139" s="89" t="s">
        <v>1268</v>
      </c>
      <c r="B139" s="91">
        <v>45988</v>
      </c>
    </row>
  </sheetData>
  <mergeCells count="14">
    <mergeCell ref="A51:A52"/>
    <mergeCell ref="A1:B1"/>
    <mergeCell ref="A19:A20"/>
    <mergeCell ref="A25:B25"/>
    <mergeCell ref="A35:A36"/>
    <mergeCell ref="A41:B41"/>
    <mergeCell ref="A117:B117"/>
    <mergeCell ref="A135:A136"/>
    <mergeCell ref="A57:B57"/>
    <mergeCell ref="A67:A68"/>
    <mergeCell ref="A73:B73"/>
    <mergeCell ref="A87:A88"/>
    <mergeCell ref="A93:B93"/>
    <mergeCell ref="A111:A112"/>
  </mergeCells>
  <conditionalFormatting sqref="H13">
    <cfRule type="expression" dxfId="45" priority="1">
      <formula>#REF!="CONCLUIDO"</formula>
    </cfRule>
    <cfRule type="expression" dxfId="44" priority="2">
      <formula>MID(TRIM(#REF!), LEN(TRIM(#REF!))-2, 3)="(D)"</formula>
    </cfRule>
    <cfRule type="expression" dxfId="43" priority="3">
      <formula>AND(INT(#REF!)=TODAY()+1, COUNTIF(#REF!,"CONCLUIDO*")+COUNTIF(#REF!,"CONCLUÍDO*")=0)</formula>
    </cfRule>
    <cfRule type="expression" dxfId="42" priority="4">
      <formula>AND(INT(#REF!)=TODAY(), COUNTIF(#REF!,"CONCLUIDO*")+COUNTIF(#REF!,"CONCLUÍDO*")=0)</formula>
    </cfRule>
    <cfRule type="expression" dxfId="41" priority="5">
      <formula>#REF!="RECEBIDO"</formula>
    </cfRule>
    <cfRule type="expression" dxfId="40" priority="6">
      <formula>#REF!="EM ROTA"</formula>
    </cfRule>
    <cfRule type="expression" dxfId="39" priority="7">
      <formula>#REF!="RECEBIDO (D)"</formula>
    </cfRule>
    <cfRule type="expression" dxfId="38" priority="8">
      <formula>#REF!="SUSPENSO"</formula>
    </cfRule>
    <cfRule type="expression" dxfId="37" priority="9">
      <formula>#REF!="PROGRAMADO (D)"</formula>
    </cfRule>
    <cfRule type="expression" dxfId="36" priority="10">
      <formula>#REF!="PROGRAMADO"</formula>
    </cfRule>
    <cfRule type="expression" dxfId="35" priority="11">
      <formula>#REF!="CONCLUIDO (D)"</formula>
    </cfRule>
  </conditionalFormatting>
  <conditionalFormatting sqref="H13:I13">
    <cfRule type="expression" dxfId="34" priority="12">
      <formula>#REF!="CONCLUIDO"</formula>
    </cfRule>
  </conditionalFormatting>
  <conditionalFormatting sqref="I13">
    <cfRule type="expression" dxfId="33" priority="13">
      <formula>MID(TRIM(#REF!), LEN(TRIM(#REF!))-2, 3)="(D)"</formula>
    </cfRule>
    <cfRule type="expression" dxfId="32" priority="14">
      <formula>AND(INT(#REF!)=TODAY()+1, COUNTIF(#REF!,"CONCLUIDO*")+COUNTIF(#REF!,"CONCLUÍDO*")=0)</formula>
    </cfRule>
    <cfRule type="expression" dxfId="31" priority="15">
      <formula>AND(INT(#REF!)=TODAY(), COUNTIF(#REF!,"CONCLUIDO*")+COUNTIF(#REF!,"CONCLUÍDO*")=0)</formula>
    </cfRule>
    <cfRule type="expression" dxfId="30" priority="16">
      <formula>#REF!="RECEBIDO"</formula>
    </cfRule>
    <cfRule type="expression" dxfId="29" priority="17">
      <formula>#REF!="EM ROTA"</formula>
    </cfRule>
    <cfRule type="expression" dxfId="28" priority="18">
      <formula>#REF!="RECEBIDO (D)"</formula>
    </cfRule>
    <cfRule type="expression" dxfId="27" priority="19">
      <formula>#REF!="SUSPENSO"</formula>
    </cfRule>
    <cfRule type="expression" dxfId="26" priority="20">
      <formula>#REF!="PROGRAMADO (D)"</formula>
    </cfRule>
    <cfRule type="expression" dxfId="25" priority="21">
      <formula>#REF!="PROGRAMADO"</formula>
    </cfRule>
    <cfRule type="expression" dxfId="24" priority="22">
      <formula>#REF!="CONCLUIDO (D)"</formula>
    </cfRule>
    <cfRule type="expression" dxfId="23" priority="23">
      <formula>#REF!="CONCLUIDO"</formula>
    </cfRule>
  </conditionalFormatting>
  <conditionalFormatting sqref="I11:J11">
    <cfRule type="expression" dxfId="22" priority="41">
      <formula>#REF!="RECEBIDO (D)"</formula>
    </cfRule>
    <cfRule type="expression" dxfId="21" priority="36">
      <formula>MID(TRIM(#REF!), LEN(TRIM(#REF!))-2, 3)="(D)"</formula>
    </cfRule>
    <cfRule type="expression" dxfId="20" priority="37">
      <formula>AND(INT(#REF!)=TODAY()+1, COUNTIF(#REF!,"CONCLUIDO*")+COUNTIF(#REF!,"CONCLUÍDO*")=0)</formula>
    </cfRule>
    <cfRule type="expression" dxfId="19" priority="38">
      <formula>AND(INT(#REF!)=TODAY(), COUNTIF(#REF!,"CONCLUIDO*")+COUNTIF(#REF!,"CONCLUÍDO*")=0)</formula>
    </cfRule>
    <cfRule type="expression" dxfId="18" priority="39">
      <formula>#REF!="RECEBIDO"</formula>
    </cfRule>
    <cfRule type="expression" dxfId="17" priority="40">
      <formula>#REF!="EM ROTA"</formula>
    </cfRule>
    <cfRule type="expression" dxfId="16" priority="42">
      <formula>#REF!="SUSPENSO"</formula>
    </cfRule>
    <cfRule type="expression" dxfId="15" priority="43">
      <formula>#REF!="PROGRAMADO (D)"</formula>
    </cfRule>
    <cfRule type="expression" dxfId="14" priority="44">
      <formula>#REF!="PROGRAMADO"</formula>
    </cfRule>
    <cfRule type="expression" dxfId="13" priority="45">
      <formula>#REF!="CONCLUIDO (D)"</formula>
    </cfRule>
    <cfRule type="expression" dxfId="12" priority="46">
      <formula>#REF!="CONCLUIDO"</formula>
    </cfRule>
  </conditionalFormatting>
  <conditionalFormatting sqref="I11:J12">
    <cfRule type="expression" dxfId="11" priority="35">
      <formula>#REF!="CONCLUIDO"</formula>
    </cfRule>
  </conditionalFormatting>
  <conditionalFormatting sqref="I12:J12">
    <cfRule type="expression" dxfId="10" priority="25">
      <formula>MID(TRIM(#REF!), LEN(TRIM(#REF!))-2, 3)="(D)"</formula>
    </cfRule>
    <cfRule type="expression" dxfId="9" priority="26">
      <formula>AND(INT(#REF!)=TODAY()+1, COUNTIF(#REF!,"CONCLUIDO*")+COUNTIF(#REF!,"CONCLUÍDO*")=0)</formula>
    </cfRule>
    <cfRule type="expression" dxfId="8" priority="27">
      <formula>AND(INT(#REF!)=TODAY(), COUNTIF(#REF!,"CONCLUIDO*")+COUNTIF(#REF!,"CONCLUÍDO*")=0)</formula>
    </cfRule>
    <cfRule type="expression" dxfId="7" priority="28">
      <formula>#REF!="RECEBIDO"</formula>
    </cfRule>
    <cfRule type="expression" dxfId="6" priority="29">
      <formula>#REF!="EM ROTA"</formula>
    </cfRule>
    <cfRule type="expression" dxfId="5" priority="24">
      <formula>#REF!="CONCLUIDO"</formula>
    </cfRule>
    <cfRule type="expression" dxfId="4" priority="30">
      <formula>#REF!="RECEBIDO (D)"</formula>
    </cfRule>
    <cfRule type="expression" dxfId="3" priority="31">
      <formula>#REF!="SUSPENSO"</formula>
    </cfRule>
    <cfRule type="expression" dxfId="2" priority="32">
      <formula>#REF!="PROGRAMADO (D)"</formula>
    </cfRule>
    <cfRule type="expression" dxfId="1" priority="33">
      <formula>#REF!="PROGRAMADO"</formula>
    </cfRule>
    <cfRule type="expression" dxfId="0" priority="34">
      <formula>#REF!="CONCLUIDO (D)"</formula>
    </cfRule>
  </conditionalFormatting>
  <hyperlinks>
    <hyperlink ref="B20" r:id="rId1" xr:uid="{270479AE-AF7D-4EB0-A8B0-C364E6DAFC7D}"/>
    <hyperlink ref="B52" r:id="rId2" xr:uid="{AE542D6E-46EB-4A08-938B-F020E666BA22}"/>
    <hyperlink ref="B68" r:id="rId3" xr:uid="{3F1A26FD-D5EE-433C-843E-F0C9DA957F1A}"/>
    <hyperlink ref="B88" r:id="rId4" xr:uid="{525125B8-5BC2-48AB-A1F2-B6A3980F3BB7}"/>
    <hyperlink ref="B112" r:id="rId5" xr:uid="{714AC98D-EB49-4ECE-9980-459E068016F5}"/>
    <hyperlink ref="J2" r:id="rId6" xr:uid="{33FF193F-E6D1-423F-8CEF-5EB86B310BAE}"/>
    <hyperlink ref="J7" r:id="rId7" xr:uid="{BA2035A5-F5BA-43E5-8CD9-0E3F9C612FEF}"/>
    <hyperlink ref="J8" r:id="rId8" xr:uid="{14249202-EFF9-42A5-A46D-CF2165ED01D2}"/>
    <hyperlink ref="J4" r:id="rId9" xr:uid="{AE7D8175-977E-4419-8859-2C8FAC45E2E2}"/>
    <hyperlink ref="J6" r:id="rId10" display="https://maps.app.goo.gl/tbQZRQV4a7fp35NM6" xr:uid="{A8615663-B8BD-4C60-81E8-AC36CC55A1D1}"/>
    <hyperlink ref="J3" r:id="rId11" xr:uid="{55536C9B-6968-4589-A951-68AA6CD421D6}"/>
    <hyperlink ref="J5" r:id="rId12" xr:uid="{12CEFE39-8557-4D04-BF5C-821079BECE0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4710-2411-4209-A28C-97528ADCB3CB}">
  <sheetPr>
    <tabColor rgb="FF002060"/>
  </sheetPr>
  <dimension ref="A1:E114"/>
  <sheetViews>
    <sheetView showGridLines="0" workbookViewId="0">
      <selection activeCell="C2" sqref="C2"/>
    </sheetView>
  </sheetViews>
  <sheetFormatPr defaultRowHeight="14.4" x14ac:dyDescent="0.3"/>
  <cols>
    <col min="1" max="1" width="24.33203125" bestFit="1" customWidth="1"/>
    <col min="2" max="2" width="22.6640625" bestFit="1" customWidth="1"/>
    <col min="3" max="3" width="42.109375" bestFit="1" customWidth="1"/>
    <col min="5" max="5" width="15.6640625" bestFit="1" customWidth="1"/>
  </cols>
  <sheetData>
    <row r="1" spans="1:5" x14ac:dyDescent="0.3">
      <c r="A1" s="19" t="s">
        <v>1296</v>
      </c>
      <c r="B1" s="19" t="s">
        <v>1297</v>
      </c>
      <c r="C1" s="19" t="s">
        <v>1298</v>
      </c>
    </row>
    <row r="2" spans="1:5" x14ac:dyDescent="0.3">
      <c r="A2" s="31" t="s">
        <v>1299</v>
      </c>
      <c r="B2" s="31" t="s">
        <v>1300</v>
      </c>
      <c r="C2" s="31" t="s">
        <v>1301</v>
      </c>
    </row>
    <row r="3" spans="1:5" ht="18" x14ac:dyDescent="0.35">
      <c r="A3" s="31" t="s">
        <v>1302</v>
      </c>
      <c r="B3" s="32" t="s">
        <v>1303</v>
      </c>
      <c r="C3" s="32" t="s">
        <v>1304</v>
      </c>
      <c r="E3" s="63" t="s">
        <v>1305</v>
      </c>
    </row>
    <row r="4" spans="1:5" x14ac:dyDescent="0.3">
      <c r="A4" s="31" t="s">
        <v>1306</v>
      </c>
      <c r="B4" s="32">
        <v>2010</v>
      </c>
      <c r="C4" s="32">
        <v>2022</v>
      </c>
    </row>
    <row r="5" spans="1:5" x14ac:dyDescent="0.3">
      <c r="A5" s="31" t="s">
        <v>1307</v>
      </c>
      <c r="B5" s="32" t="s">
        <v>1308</v>
      </c>
      <c r="C5" s="32" t="s">
        <v>1308</v>
      </c>
    </row>
    <row r="6" spans="1:5" x14ac:dyDescent="0.3">
      <c r="A6" s="31" t="s">
        <v>1309</v>
      </c>
      <c r="B6" s="32" t="s">
        <v>1310</v>
      </c>
      <c r="C6" s="32" t="s">
        <v>1310</v>
      </c>
    </row>
    <row r="7" spans="1:5" x14ac:dyDescent="0.3">
      <c r="A7" s="31" t="s">
        <v>667</v>
      </c>
      <c r="B7" s="32" t="s">
        <v>1311</v>
      </c>
      <c r="C7" s="33" t="s">
        <v>1312</v>
      </c>
    </row>
    <row r="8" spans="1:5" x14ac:dyDescent="0.3">
      <c r="A8" s="31" t="s">
        <v>1313</v>
      </c>
      <c r="B8" s="32">
        <v>320</v>
      </c>
      <c r="C8" s="32">
        <v>410</v>
      </c>
    </row>
    <row r="9" spans="1:5" x14ac:dyDescent="0.3">
      <c r="A9" s="31" t="s">
        <v>1314</v>
      </c>
      <c r="B9" s="32">
        <v>45</v>
      </c>
      <c r="C9" s="32">
        <v>45</v>
      </c>
    </row>
    <row r="10" spans="1:5" x14ac:dyDescent="0.3">
      <c r="A10" s="31" t="s">
        <v>1315</v>
      </c>
      <c r="B10" s="32">
        <v>23</v>
      </c>
      <c r="C10" s="32">
        <v>29</v>
      </c>
    </row>
    <row r="11" spans="1:5" x14ac:dyDescent="0.3">
      <c r="A11" s="31" t="s">
        <v>1316</v>
      </c>
      <c r="B11" s="32">
        <v>128</v>
      </c>
      <c r="C11" s="32">
        <v>140</v>
      </c>
    </row>
    <row r="12" spans="1:5" x14ac:dyDescent="0.3">
      <c r="A12" s="31" t="s">
        <v>1317</v>
      </c>
      <c r="B12" s="32">
        <v>495</v>
      </c>
      <c r="C12" s="32">
        <v>495</v>
      </c>
    </row>
    <row r="13" spans="1:5" x14ac:dyDescent="0.3">
      <c r="A13" s="31" t="s">
        <v>1318</v>
      </c>
      <c r="B13" s="32">
        <v>32</v>
      </c>
      <c r="C13" s="32">
        <v>32</v>
      </c>
    </row>
    <row r="14" spans="1:5" x14ac:dyDescent="0.3">
      <c r="A14" s="31" t="s">
        <v>1319</v>
      </c>
      <c r="B14" s="32">
        <v>60</v>
      </c>
      <c r="C14" s="32">
        <v>60</v>
      </c>
    </row>
    <row r="15" spans="1:5" x14ac:dyDescent="0.3">
      <c r="A15" s="31" t="s">
        <v>1320</v>
      </c>
      <c r="B15" s="32" t="s">
        <v>1321</v>
      </c>
      <c r="C15" s="32" t="s">
        <v>1322</v>
      </c>
    </row>
    <row r="16" spans="1:5" x14ac:dyDescent="0.3">
      <c r="A16" s="31" t="s">
        <v>1323</v>
      </c>
      <c r="B16" s="34">
        <v>252400</v>
      </c>
      <c r="C16" s="34">
        <v>895000</v>
      </c>
    </row>
    <row r="17" spans="1:3" x14ac:dyDescent="0.3">
      <c r="A17" s="31" t="s">
        <v>1324</v>
      </c>
      <c r="B17" s="34">
        <v>67300</v>
      </c>
      <c r="C17" s="34">
        <v>120000</v>
      </c>
    </row>
    <row r="18" spans="1:3" x14ac:dyDescent="0.3">
      <c r="A18" s="31" t="s">
        <v>25</v>
      </c>
      <c r="B18" s="35">
        <v>319700</v>
      </c>
      <c r="C18" s="35">
        <v>1015000</v>
      </c>
    </row>
    <row r="19" spans="1:3" x14ac:dyDescent="0.3">
      <c r="A19" s="36"/>
      <c r="B19" s="20"/>
      <c r="C19" s="20"/>
    </row>
    <row r="20" spans="1:3" x14ac:dyDescent="0.3">
      <c r="A20" s="31"/>
      <c r="B20" s="32" t="s">
        <v>1300</v>
      </c>
      <c r="C20" s="37" t="s">
        <v>1301</v>
      </c>
    </row>
    <row r="21" spans="1:3" x14ac:dyDescent="0.3">
      <c r="A21" s="21"/>
      <c r="B21" s="38" t="s">
        <v>1325</v>
      </c>
      <c r="C21" s="38" t="s">
        <v>1326</v>
      </c>
    </row>
    <row r="22" spans="1:3" x14ac:dyDescent="0.3">
      <c r="A22" s="21"/>
      <c r="B22" s="39" t="s">
        <v>1327</v>
      </c>
      <c r="C22" s="38" t="s">
        <v>1327</v>
      </c>
    </row>
    <row r="23" spans="1:3" x14ac:dyDescent="0.3">
      <c r="A23" s="21"/>
      <c r="B23" s="3"/>
      <c r="C23" s="39"/>
    </row>
    <row r="24" spans="1:3" x14ac:dyDescent="0.3">
      <c r="A24" s="21"/>
      <c r="B24" s="32"/>
      <c r="C24" s="34" t="s">
        <v>1328</v>
      </c>
    </row>
    <row r="25" spans="1:3" x14ac:dyDescent="0.3">
      <c r="A25" s="21"/>
      <c r="B25" s="32"/>
      <c r="C25" s="34" t="s">
        <v>1329</v>
      </c>
    </row>
    <row r="26" spans="1:3" x14ac:dyDescent="0.3">
      <c r="A26" s="21"/>
      <c r="B26" s="32"/>
      <c r="C26" s="32" t="s">
        <v>1327</v>
      </c>
    </row>
    <row r="27" spans="1:3" x14ac:dyDescent="0.3">
      <c r="A27" s="21"/>
      <c r="B27" s="32"/>
      <c r="C27" s="32"/>
    </row>
    <row r="28" spans="1:3" x14ac:dyDescent="0.3">
      <c r="A28" s="192" t="s">
        <v>1330</v>
      </c>
      <c r="B28" s="193"/>
      <c r="C28" s="194"/>
    </row>
    <row r="29" spans="1:3" x14ac:dyDescent="0.3">
      <c r="A29" s="192" t="s">
        <v>1331</v>
      </c>
      <c r="B29" s="193"/>
      <c r="C29" s="194"/>
    </row>
    <row r="30" spans="1:3" x14ac:dyDescent="0.3">
      <c r="A30" s="192" t="s">
        <v>1332</v>
      </c>
      <c r="B30" s="193"/>
      <c r="C30" s="194"/>
    </row>
    <row r="31" spans="1:3" x14ac:dyDescent="0.3">
      <c r="A31" s="192" t="s">
        <v>1333</v>
      </c>
      <c r="B31" s="193"/>
      <c r="C31" s="194"/>
    </row>
    <row r="32" spans="1:3" x14ac:dyDescent="0.3">
      <c r="A32" s="192" t="s">
        <v>1334</v>
      </c>
      <c r="B32" s="193"/>
      <c r="C32" s="194"/>
    </row>
    <row r="33" spans="1:3" x14ac:dyDescent="0.3">
      <c r="A33" s="22"/>
      <c r="B33" s="23"/>
      <c r="C33" s="24"/>
    </row>
    <row r="34" spans="1:3" x14ac:dyDescent="0.3">
      <c r="A34" s="40" t="s">
        <v>1335</v>
      </c>
      <c r="B34" s="40" t="s">
        <v>1336</v>
      </c>
      <c r="C34" s="40" t="s">
        <v>1337</v>
      </c>
    </row>
    <row r="35" spans="1:3" x14ac:dyDescent="0.3">
      <c r="A35" s="41" t="s">
        <v>1338</v>
      </c>
      <c r="B35" s="41">
        <v>11307</v>
      </c>
      <c r="C35" s="41">
        <v>11307</v>
      </c>
    </row>
    <row r="36" spans="1:3" x14ac:dyDescent="0.3">
      <c r="A36" s="41" t="s">
        <v>1339</v>
      </c>
      <c r="B36" s="25" t="s">
        <v>718</v>
      </c>
      <c r="C36" s="41" t="s">
        <v>1340</v>
      </c>
    </row>
    <row r="37" spans="1:3" x14ac:dyDescent="0.3">
      <c r="A37" s="26" t="s">
        <v>1341</v>
      </c>
      <c r="B37" s="25" t="s">
        <v>718</v>
      </c>
      <c r="C37" s="41" t="s">
        <v>1342</v>
      </c>
    </row>
    <row r="38" spans="1:3" x14ac:dyDescent="0.3">
      <c r="A38" s="26" t="s">
        <v>1343</v>
      </c>
      <c r="B38" s="27" t="s">
        <v>1344</v>
      </c>
      <c r="C38" s="28" t="s">
        <v>1345</v>
      </c>
    </row>
    <row r="39" spans="1:3" x14ac:dyDescent="0.3">
      <c r="A39" s="29" t="s">
        <v>1346</v>
      </c>
      <c r="B39" s="30" t="s">
        <v>1347</v>
      </c>
      <c r="C39" s="42"/>
    </row>
    <row r="40" spans="1:3" x14ac:dyDescent="0.3">
      <c r="A40" s="23"/>
      <c r="B40" s="23"/>
      <c r="C40" s="23"/>
    </row>
    <row r="41" spans="1:3" x14ac:dyDescent="0.3">
      <c r="A41" s="189" t="s">
        <v>1348</v>
      </c>
      <c r="B41" s="190"/>
      <c r="C41" s="191"/>
    </row>
    <row r="42" spans="1:3" x14ac:dyDescent="0.3">
      <c r="A42" s="189" t="s">
        <v>1349</v>
      </c>
      <c r="B42" s="190"/>
      <c r="C42" s="191"/>
    </row>
    <row r="43" spans="1:3" x14ac:dyDescent="0.3">
      <c r="A43" s="23"/>
      <c r="B43" s="23"/>
      <c r="C43" s="23"/>
    </row>
    <row r="44" spans="1:3" x14ac:dyDescent="0.3">
      <c r="A44" s="19" t="s">
        <v>1296</v>
      </c>
      <c r="B44" s="19" t="s">
        <v>1297</v>
      </c>
      <c r="C44" s="19" t="s">
        <v>1298</v>
      </c>
    </row>
    <row r="45" spans="1:3" x14ac:dyDescent="0.3">
      <c r="A45" s="36" t="s">
        <v>1350</v>
      </c>
      <c r="B45" s="20" t="s">
        <v>1325</v>
      </c>
      <c r="C45" s="20" t="s">
        <v>1351</v>
      </c>
    </row>
    <row r="46" spans="1:3" x14ac:dyDescent="0.3">
      <c r="A46" s="31" t="s">
        <v>1352</v>
      </c>
      <c r="B46" s="37" t="s">
        <v>1353</v>
      </c>
      <c r="C46" s="37" t="s">
        <v>1354</v>
      </c>
    </row>
    <row r="47" spans="1:3" x14ac:dyDescent="0.3">
      <c r="A47" s="31" t="s">
        <v>1355</v>
      </c>
      <c r="B47" s="32" t="s">
        <v>1353</v>
      </c>
      <c r="C47" s="38">
        <v>44931</v>
      </c>
    </row>
    <row r="48" spans="1:3" x14ac:dyDescent="0.3">
      <c r="A48" s="31" t="s">
        <v>1356</v>
      </c>
      <c r="B48" s="38">
        <v>44931</v>
      </c>
      <c r="C48" s="38">
        <v>44931</v>
      </c>
    </row>
    <row r="49" spans="1:3" x14ac:dyDescent="0.3">
      <c r="A49" s="31" t="s">
        <v>1357</v>
      </c>
      <c r="B49" s="39">
        <v>152362</v>
      </c>
      <c r="C49" s="39">
        <v>476464</v>
      </c>
    </row>
    <row r="50" spans="1:3" x14ac:dyDescent="0.3">
      <c r="A50" s="31" t="s">
        <v>1358</v>
      </c>
      <c r="B50" s="32" t="s">
        <v>1353</v>
      </c>
      <c r="C50" s="34">
        <v>7.58</v>
      </c>
    </row>
    <row r="51" spans="1:3" x14ac:dyDescent="0.3">
      <c r="A51" s="31" t="s">
        <v>1359</v>
      </c>
      <c r="B51" s="32" t="s">
        <v>1353</v>
      </c>
      <c r="C51" s="34">
        <v>6821.34</v>
      </c>
    </row>
    <row r="52" spans="1:3" x14ac:dyDescent="0.3">
      <c r="A52" s="31" t="s">
        <v>1360</v>
      </c>
      <c r="B52" s="32" t="s">
        <v>1361</v>
      </c>
      <c r="C52" s="32" t="s">
        <v>1362</v>
      </c>
    </row>
    <row r="53" spans="1:3" x14ac:dyDescent="0.3">
      <c r="A53" s="31" t="s">
        <v>1363</v>
      </c>
      <c r="B53" s="32" t="s">
        <v>1364</v>
      </c>
      <c r="C53" s="32" t="s">
        <v>1364</v>
      </c>
    </row>
    <row r="54" spans="1:3" x14ac:dyDescent="0.3">
      <c r="A54" s="31" t="s">
        <v>1365</v>
      </c>
      <c r="B54" s="32"/>
      <c r="C54" s="34"/>
    </row>
    <row r="55" spans="1:3" x14ac:dyDescent="0.3">
      <c r="A55" s="31" t="s">
        <v>1366</v>
      </c>
      <c r="B55" s="32"/>
      <c r="C55" s="34"/>
    </row>
    <row r="56" spans="1:3" x14ac:dyDescent="0.3">
      <c r="A56" s="31" t="s">
        <v>1367</v>
      </c>
      <c r="B56" s="32"/>
      <c r="C56" s="34"/>
    </row>
    <row r="57" spans="1:3" x14ac:dyDescent="0.3">
      <c r="A57" s="31" t="s">
        <v>1368</v>
      </c>
      <c r="B57" s="32"/>
      <c r="C57" s="43"/>
    </row>
    <row r="58" spans="1:3" x14ac:dyDescent="0.3">
      <c r="A58" s="31" t="s">
        <v>1369</v>
      </c>
      <c r="B58" s="32"/>
      <c r="C58" s="34"/>
    </row>
    <row r="62" spans="1:3" x14ac:dyDescent="0.3">
      <c r="A62" s="133" t="s">
        <v>1370</v>
      </c>
      <c r="B62" s="133"/>
      <c r="C62" s="133"/>
    </row>
    <row r="63" spans="1:3" x14ac:dyDescent="0.3">
      <c r="A63" s="133" t="s">
        <v>1371</v>
      </c>
      <c r="B63" s="133"/>
      <c r="C63" s="133"/>
    </row>
    <row r="64" spans="1:3" x14ac:dyDescent="0.3">
      <c r="A64" s="134" t="s">
        <v>1372</v>
      </c>
      <c r="B64" s="133"/>
      <c r="C64" s="133"/>
    </row>
    <row r="65" spans="1:3" x14ac:dyDescent="0.3">
      <c r="A65" s="134" t="s">
        <v>1373</v>
      </c>
      <c r="B65" s="133"/>
      <c r="C65" s="133"/>
    </row>
    <row r="66" spans="1:3" x14ac:dyDescent="0.3">
      <c r="A66" s="133" t="s">
        <v>1374</v>
      </c>
      <c r="B66" s="133"/>
      <c r="C66" s="133"/>
    </row>
    <row r="67" spans="1:3" x14ac:dyDescent="0.3">
      <c r="A67" s="134" t="s">
        <v>1375</v>
      </c>
      <c r="B67" s="133"/>
      <c r="C67" s="133"/>
    </row>
    <row r="68" spans="1:3" x14ac:dyDescent="0.3">
      <c r="A68" s="134" t="s">
        <v>1376</v>
      </c>
      <c r="B68" s="133"/>
      <c r="C68" s="133"/>
    </row>
    <row r="69" spans="1:3" x14ac:dyDescent="0.3">
      <c r="A69" s="134" t="s">
        <v>1377</v>
      </c>
      <c r="B69" s="133"/>
      <c r="C69" s="133"/>
    </row>
    <row r="70" spans="1:3" x14ac:dyDescent="0.3">
      <c r="A70" s="134" t="s">
        <v>1378</v>
      </c>
      <c r="B70" s="133"/>
      <c r="C70" s="133"/>
    </row>
    <row r="71" spans="1:3" x14ac:dyDescent="0.3">
      <c r="A71" s="134" t="s">
        <v>1379</v>
      </c>
      <c r="B71" s="133"/>
      <c r="C71" s="133"/>
    </row>
    <row r="72" spans="1:3" x14ac:dyDescent="0.3">
      <c r="A72" s="134" t="s">
        <v>1380</v>
      </c>
      <c r="B72" s="133"/>
      <c r="C72" s="133"/>
    </row>
    <row r="73" spans="1:3" x14ac:dyDescent="0.3">
      <c r="A73" s="134" t="s">
        <v>1381</v>
      </c>
      <c r="B73" s="133"/>
      <c r="C73" s="133"/>
    </row>
    <row r="74" spans="1:3" x14ac:dyDescent="0.3">
      <c r="A74" s="133" t="s">
        <v>1382</v>
      </c>
      <c r="B74" s="133"/>
      <c r="C74" s="133"/>
    </row>
    <row r="75" spans="1:3" x14ac:dyDescent="0.3">
      <c r="A75" s="134" t="s">
        <v>1383</v>
      </c>
      <c r="B75" s="133"/>
      <c r="C75" s="133"/>
    </row>
    <row r="76" spans="1:3" x14ac:dyDescent="0.3">
      <c r="A76" s="134" t="s">
        <v>1384</v>
      </c>
      <c r="B76" s="133"/>
      <c r="C76" s="133"/>
    </row>
    <row r="77" spans="1:3" x14ac:dyDescent="0.3">
      <c r="A77" s="134" t="s">
        <v>1385</v>
      </c>
      <c r="B77" s="133"/>
      <c r="C77" s="133"/>
    </row>
    <row r="78" spans="1:3" x14ac:dyDescent="0.3">
      <c r="A78" s="134" t="s">
        <v>1386</v>
      </c>
      <c r="B78" s="133"/>
      <c r="C78" s="133"/>
    </row>
    <row r="79" spans="1:3" x14ac:dyDescent="0.3">
      <c r="A79" s="134" t="s">
        <v>1387</v>
      </c>
      <c r="B79" s="133"/>
      <c r="C79" s="133"/>
    </row>
    <row r="80" spans="1:3" x14ac:dyDescent="0.3">
      <c r="A80" s="134" t="s">
        <v>1388</v>
      </c>
      <c r="B80" s="133"/>
      <c r="C80" s="133"/>
    </row>
    <row r="81" spans="1:3" x14ac:dyDescent="0.3">
      <c r="A81" s="133" t="s">
        <v>1389</v>
      </c>
      <c r="B81" s="133"/>
      <c r="C81" s="133"/>
    </row>
    <row r="82" spans="1:3" x14ac:dyDescent="0.3">
      <c r="A82" s="134" t="s">
        <v>1390</v>
      </c>
      <c r="B82" s="133"/>
      <c r="C82" s="133"/>
    </row>
    <row r="83" spans="1:3" x14ac:dyDescent="0.3">
      <c r="A83" s="134" t="s">
        <v>1391</v>
      </c>
      <c r="B83" s="133"/>
      <c r="C83" s="133"/>
    </row>
    <row r="84" spans="1:3" x14ac:dyDescent="0.3">
      <c r="A84" s="133" t="s">
        <v>1392</v>
      </c>
      <c r="B84" s="133"/>
      <c r="C84" s="133"/>
    </row>
    <row r="85" spans="1:3" x14ac:dyDescent="0.3">
      <c r="A85" s="133"/>
      <c r="B85" s="134" t="s">
        <v>1393</v>
      </c>
      <c r="C85" s="133"/>
    </row>
    <row r="86" spans="1:3" x14ac:dyDescent="0.3">
      <c r="A86" s="133"/>
      <c r="B86" s="134" t="s">
        <v>1394</v>
      </c>
      <c r="C86" s="133"/>
    </row>
    <row r="87" spans="1:3" x14ac:dyDescent="0.3">
      <c r="A87" s="133" t="s">
        <v>1395</v>
      </c>
      <c r="B87" s="133"/>
      <c r="C87" s="133"/>
    </row>
    <row r="88" spans="1:3" x14ac:dyDescent="0.3">
      <c r="A88" s="134" t="s">
        <v>1396</v>
      </c>
      <c r="B88" s="133"/>
      <c r="C88" s="133"/>
    </row>
    <row r="89" spans="1:3" x14ac:dyDescent="0.3">
      <c r="A89" s="133" t="s">
        <v>1397</v>
      </c>
      <c r="B89" s="133"/>
      <c r="C89" s="133"/>
    </row>
    <row r="90" spans="1:3" x14ac:dyDescent="0.3">
      <c r="A90" s="133" t="s">
        <v>1398</v>
      </c>
      <c r="B90" s="133"/>
      <c r="C90" s="133"/>
    </row>
    <row r="91" spans="1:3" x14ac:dyDescent="0.3">
      <c r="A91" s="133"/>
      <c r="B91" s="133" t="s">
        <v>1299</v>
      </c>
      <c r="C91" s="133"/>
    </row>
    <row r="92" spans="1:3" x14ac:dyDescent="0.3">
      <c r="A92" s="133"/>
      <c r="B92" s="133" t="s">
        <v>1399</v>
      </c>
      <c r="C92" s="133"/>
    </row>
    <row r="93" spans="1:3" x14ac:dyDescent="0.3">
      <c r="A93" s="133"/>
      <c r="B93" s="133" t="s">
        <v>1400</v>
      </c>
      <c r="C93" s="133"/>
    </row>
    <row r="94" spans="1:3" x14ac:dyDescent="0.3">
      <c r="A94" s="133"/>
      <c r="B94" s="133" t="s">
        <v>1401</v>
      </c>
      <c r="C94" s="133"/>
    </row>
    <row r="95" spans="1:3" x14ac:dyDescent="0.3">
      <c r="A95" s="133"/>
      <c r="B95" s="134" t="s">
        <v>1402</v>
      </c>
      <c r="C95" s="133"/>
    </row>
    <row r="96" spans="1:3" x14ac:dyDescent="0.3">
      <c r="A96" s="133" t="s">
        <v>1403</v>
      </c>
      <c r="B96" s="133"/>
      <c r="C96" s="133"/>
    </row>
    <row r="97" spans="1:3" x14ac:dyDescent="0.3">
      <c r="A97" s="133"/>
      <c r="B97" s="133" t="s">
        <v>1404</v>
      </c>
      <c r="C97" s="133"/>
    </row>
    <row r="98" spans="1:3" x14ac:dyDescent="0.3">
      <c r="A98" s="133"/>
      <c r="B98" s="133" t="s">
        <v>1405</v>
      </c>
      <c r="C98" s="133"/>
    </row>
    <row r="99" spans="1:3" x14ac:dyDescent="0.3">
      <c r="A99" s="133" t="s">
        <v>1406</v>
      </c>
      <c r="B99" s="133"/>
      <c r="C99" s="133"/>
    </row>
    <row r="100" spans="1:3" x14ac:dyDescent="0.3">
      <c r="A100" s="133">
        <v>1</v>
      </c>
      <c r="B100" s="133" t="s">
        <v>1407</v>
      </c>
      <c r="C100" s="133"/>
    </row>
    <row r="101" spans="1:3" x14ac:dyDescent="0.3">
      <c r="A101" s="133">
        <v>2</v>
      </c>
      <c r="B101" s="133" t="s">
        <v>1408</v>
      </c>
      <c r="C101" s="133"/>
    </row>
    <row r="102" spans="1:3" x14ac:dyDescent="0.3">
      <c r="A102" s="133"/>
      <c r="B102" s="133"/>
      <c r="C102" s="133" t="s">
        <v>1409</v>
      </c>
    </row>
    <row r="103" spans="1:3" x14ac:dyDescent="0.3">
      <c r="A103" s="133"/>
      <c r="B103" s="133"/>
      <c r="C103" s="133" t="s">
        <v>1410</v>
      </c>
    </row>
    <row r="104" spans="1:3" x14ac:dyDescent="0.3">
      <c r="A104" s="133">
        <v>3</v>
      </c>
      <c r="B104" s="133" t="s">
        <v>1411</v>
      </c>
      <c r="C104" s="133"/>
    </row>
    <row r="105" spans="1:3" x14ac:dyDescent="0.3">
      <c r="A105" s="133">
        <v>4</v>
      </c>
      <c r="B105" s="133" t="s">
        <v>1412</v>
      </c>
      <c r="C105" s="133"/>
    </row>
    <row r="106" spans="1:3" x14ac:dyDescent="0.3">
      <c r="A106" s="133"/>
      <c r="B106" s="133"/>
      <c r="C106" s="134" t="s">
        <v>1413</v>
      </c>
    </row>
    <row r="107" spans="1:3" x14ac:dyDescent="0.3">
      <c r="A107" s="133"/>
      <c r="B107" s="133"/>
      <c r="C107" s="134" t="s">
        <v>1414</v>
      </c>
    </row>
    <row r="108" spans="1:3" x14ac:dyDescent="0.3">
      <c r="A108" s="133" t="s">
        <v>1415</v>
      </c>
      <c r="B108" s="133"/>
      <c r="C108" s="133"/>
    </row>
    <row r="109" spans="1:3" x14ac:dyDescent="0.3">
      <c r="A109" s="133" t="s">
        <v>1416</v>
      </c>
      <c r="B109" s="133"/>
      <c r="C109" s="133"/>
    </row>
    <row r="110" spans="1:3" x14ac:dyDescent="0.3">
      <c r="A110" s="133" t="s">
        <v>1417</v>
      </c>
      <c r="B110" s="133"/>
      <c r="C110" s="133"/>
    </row>
    <row r="111" spans="1:3" x14ac:dyDescent="0.3">
      <c r="A111" s="134" t="s">
        <v>1418</v>
      </c>
      <c r="B111" s="133"/>
      <c r="C111" s="133"/>
    </row>
    <row r="112" spans="1:3" x14ac:dyDescent="0.3">
      <c r="A112" s="134" t="s">
        <v>1419</v>
      </c>
      <c r="B112" s="133"/>
      <c r="C112" s="133"/>
    </row>
    <row r="113" spans="1:3" x14ac:dyDescent="0.3">
      <c r="A113" s="133" t="s">
        <v>1420</v>
      </c>
      <c r="B113" s="133"/>
      <c r="C113" s="133"/>
    </row>
    <row r="114" spans="1:3" x14ac:dyDescent="0.3">
      <c r="A114" s="133" t="s">
        <v>1421</v>
      </c>
      <c r="B114" s="133"/>
      <c r="C114" s="133"/>
    </row>
  </sheetData>
  <mergeCells count="7">
    <mergeCell ref="A42:C42"/>
    <mergeCell ref="A28:C28"/>
    <mergeCell ref="A29:C29"/>
    <mergeCell ref="A30:C30"/>
    <mergeCell ref="A31:C31"/>
    <mergeCell ref="A32:C32"/>
    <mergeCell ref="A41:C4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552bd7-0050-4a40-a3e9-7eed99743892" xsi:nil="true"/>
    <lcf76f155ced4ddcb4097134ff3c332f xmlns="1f9af305-95c5-4ec5-a7fe-f235b5fb43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5C9838A8BE0240B14ECB57A7D15C1B" ma:contentTypeVersion="11" ma:contentTypeDescription="Crie um novo documento." ma:contentTypeScope="" ma:versionID="38153ec566ff0f4bf479b7a6c9088949">
  <xsd:schema xmlns:xsd="http://www.w3.org/2001/XMLSchema" xmlns:xs="http://www.w3.org/2001/XMLSchema" xmlns:p="http://schemas.microsoft.com/office/2006/metadata/properties" xmlns:ns2="1f9af305-95c5-4ec5-a7fe-f235b5fb43bb" xmlns:ns3="97552bd7-0050-4a40-a3e9-7eed99743892" targetNamespace="http://schemas.microsoft.com/office/2006/metadata/properties" ma:root="true" ma:fieldsID="05d834da23fbd08f588ccb0f92beec26" ns2:_="" ns3:_="">
    <xsd:import namespace="1f9af305-95c5-4ec5-a7fe-f235b5fb43bb"/>
    <xsd:import namespace="97552bd7-0050-4a40-a3e9-7eed997438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af305-95c5-4ec5-a7fe-f235b5fb4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e47ef80-476e-4d48-8370-c3a86979ed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52bd7-0050-4a40-a3e9-7eed9974389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3a7a416-64b3-4a0a-8957-7f7a7eb67c43}" ma:internalName="TaxCatchAll" ma:showField="CatchAllData" ma:web="97552bd7-0050-4a40-a3e9-7eed99743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5723BA-9722-4970-B575-35956A766521}">
  <ds:schemaRefs>
    <ds:schemaRef ds:uri="http://purl.org/dc/terms/"/>
    <ds:schemaRef ds:uri="http://purl.org/dc/dcmitype/"/>
    <ds:schemaRef ds:uri="1f9af305-95c5-4ec5-a7fe-f235b5fb43bb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97552bd7-0050-4a40-a3e9-7eed9974389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6A1C85B-03FE-4F69-8E8A-BAA099FC87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994462-9DC9-439A-A812-6A6D4FF15B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9af305-95c5-4ec5-a7fe-f235b5fb43bb"/>
    <ds:schemaRef ds:uri="97552bd7-0050-4a40-a3e9-7eed997438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CUSTOS</vt:lpstr>
      <vt:lpstr>FRETE MÁQUINAS</vt:lpstr>
      <vt:lpstr>PEDIDO COMPRA</vt:lpstr>
      <vt:lpstr>FRETE PEÇAS</vt:lpstr>
      <vt:lpstr>UTIL</vt:lpstr>
      <vt:lpstr>DEMO NOV</vt:lpstr>
      <vt:lpstr>VW DAF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Marcela Caroline Marques</dc:creator>
  <cp:keywords/>
  <dc:description/>
  <cp:lastModifiedBy>Marcela Caroline Marques</cp:lastModifiedBy>
  <cp:revision/>
  <dcterms:created xsi:type="dcterms:W3CDTF">2025-11-11T13:48:15Z</dcterms:created>
  <dcterms:modified xsi:type="dcterms:W3CDTF">2025-11-19T00:37:23Z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0x010100165C9838A8BE0240B14ECB57A7D15C1B</vt:lpwstr>
  </property>
  <property fmtid="{D5CDD505-2E9C-101B-9397-08002B2CF9AE}" pid="3" name="MediaServiceImageTags">
    <vt:lpwstr/>
  </property>
</Properties>
</file>